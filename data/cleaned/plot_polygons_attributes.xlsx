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EN TRUNG CPT\Downloads\Gis Data\Dự án  2 - Coffe Gis\"/>
    </mc:Choice>
  </mc:AlternateContent>
  <bookViews>
    <workbookView xWindow="0" yWindow="0" windowWidth="28800" windowHeight="12330" activeTab="1"/>
  </bookViews>
  <sheets>
    <sheet name="Raw_data" sheetId="1" r:id="rId1"/>
    <sheet name="Used_Data" sheetId="2" r:id="rId2"/>
    <sheet name="Country_Continent" sheetId="3" r:id="rId3"/>
  </sheets>
  <definedNames>
    <definedName name="_xlnm._FilterDatabase" localSheetId="0" hidden="1">Raw_data!$A$1:$E$1</definedName>
  </definedNames>
  <calcPr calcId="162913"/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2" i="2"/>
</calcChain>
</file>

<file path=xl/sharedStrings.xml><?xml version="1.0" encoding="utf-8"?>
<sst xmlns="http://schemas.openxmlformats.org/spreadsheetml/2006/main" count="792" uniqueCount="218">
  <si>
    <t>Plot_ID</t>
  </si>
  <si>
    <t>Farmer_ID</t>
  </si>
  <si>
    <t>Area_ha</t>
  </si>
  <si>
    <t>GPS_Validated</t>
  </si>
  <si>
    <t>Survey_Year</t>
  </si>
  <si>
    <t>P00001</t>
  </si>
  <si>
    <t>F0004</t>
  </si>
  <si>
    <t>0.35</t>
  </si>
  <si>
    <t>No</t>
  </si>
  <si>
    <t>P00002</t>
  </si>
  <si>
    <t>F0002</t>
  </si>
  <si>
    <t>0.2</t>
  </si>
  <si>
    <t>P00003</t>
  </si>
  <si>
    <t>F0048</t>
  </si>
  <si>
    <t>0.41</t>
  </si>
  <si>
    <t>P00004</t>
  </si>
  <si>
    <t>F0005</t>
  </si>
  <si>
    <t>2.22</t>
  </si>
  <si>
    <t>P00005</t>
  </si>
  <si>
    <t>F0022</t>
  </si>
  <si>
    <t>1.89</t>
  </si>
  <si>
    <t>Yes</t>
  </si>
  <si>
    <t>P00006</t>
  </si>
  <si>
    <t>F0019</t>
  </si>
  <si>
    <t>2.49</t>
  </si>
  <si>
    <t>P00007</t>
  </si>
  <si>
    <t>F0042</t>
  </si>
  <si>
    <t>0.37</t>
  </si>
  <si>
    <t>P00008</t>
  </si>
  <si>
    <t>F0027</t>
  </si>
  <si>
    <t>0.96</t>
  </si>
  <si>
    <t>P00009</t>
  </si>
  <si>
    <t>F0046</t>
  </si>
  <si>
    <t>0.61</t>
  </si>
  <si>
    <t>P00010</t>
  </si>
  <si>
    <t>F0016</t>
  </si>
  <si>
    <t>1.11</t>
  </si>
  <si>
    <t>P00011</t>
  </si>
  <si>
    <t>F0028</t>
  </si>
  <si>
    <t>1.42</t>
  </si>
  <si>
    <t>P00012</t>
  </si>
  <si>
    <t>F0001</t>
  </si>
  <si>
    <t>0.12</t>
  </si>
  <si>
    <t>P00013</t>
  </si>
  <si>
    <t>F0040</t>
  </si>
  <si>
    <t>1.48</t>
  </si>
  <si>
    <t>P00014</t>
  </si>
  <si>
    <t>F0014</t>
  </si>
  <si>
    <t>2.25</t>
  </si>
  <si>
    <t>P00015</t>
  </si>
  <si>
    <t>F0026</t>
  </si>
  <si>
    <t>2.32</t>
  </si>
  <si>
    <t>P00016</t>
  </si>
  <si>
    <t>F0036</t>
  </si>
  <si>
    <t>0.88</t>
  </si>
  <si>
    <t>P00017</t>
  </si>
  <si>
    <t>2.14</t>
  </si>
  <si>
    <t>P00018</t>
  </si>
  <si>
    <t>F0025</t>
  </si>
  <si>
    <t>1.56</t>
  </si>
  <si>
    <t>P00019</t>
  </si>
  <si>
    <t>F0041</t>
  </si>
  <si>
    <t>0.9</t>
  </si>
  <si>
    <t>P00020</t>
  </si>
  <si>
    <t>F0017</t>
  </si>
  <si>
    <t>1.53</t>
  </si>
  <si>
    <t>P00021</t>
  </si>
  <si>
    <t>F0009</t>
  </si>
  <si>
    <t>1.87</t>
  </si>
  <si>
    <t>P00022</t>
  </si>
  <si>
    <t>1.21</t>
  </si>
  <si>
    <t>P00023</t>
  </si>
  <si>
    <t>F0003</t>
  </si>
  <si>
    <t>0.99</t>
  </si>
  <si>
    <t>P00024</t>
  </si>
  <si>
    <t>F0018</t>
  </si>
  <si>
    <t>1.18</t>
  </si>
  <si>
    <t>P00025</t>
  </si>
  <si>
    <t>0.79</t>
  </si>
  <si>
    <t>P00026</t>
  </si>
  <si>
    <t>2.04</t>
  </si>
  <si>
    <t>P00027</t>
  </si>
  <si>
    <t>F0030</t>
  </si>
  <si>
    <t>1.61</t>
  </si>
  <si>
    <t>P00028</t>
  </si>
  <si>
    <t>1.01</t>
  </si>
  <si>
    <t>P00029</t>
  </si>
  <si>
    <t>1.29</t>
  </si>
  <si>
    <t>P00030</t>
  </si>
  <si>
    <t>F0023</t>
  </si>
  <si>
    <t>0.15</t>
  </si>
  <si>
    <t>P00031</t>
  </si>
  <si>
    <t>0.5</t>
  </si>
  <si>
    <t>P00032</t>
  </si>
  <si>
    <t>P00033</t>
  </si>
  <si>
    <t>1.16</t>
  </si>
  <si>
    <t>P00034</t>
  </si>
  <si>
    <t>1.0</t>
  </si>
  <si>
    <t>P00035</t>
  </si>
  <si>
    <t>F0029</t>
  </si>
  <si>
    <t>1.23</t>
  </si>
  <si>
    <t>P00036</t>
  </si>
  <si>
    <t>F0034</t>
  </si>
  <si>
    <t>0.84</t>
  </si>
  <si>
    <t>P00037</t>
  </si>
  <si>
    <t>P00038</t>
  </si>
  <si>
    <t>F0043</t>
  </si>
  <si>
    <t>2.48</t>
  </si>
  <si>
    <t>P00039</t>
  </si>
  <si>
    <t>F0050</t>
  </si>
  <si>
    <t>0.39</t>
  </si>
  <si>
    <t>P00040</t>
  </si>
  <si>
    <t>0.89</t>
  </si>
  <si>
    <t>P00041</t>
  </si>
  <si>
    <t>F0033</t>
  </si>
  <si>
    <t>1.3</t>
  </si>
  <si>
    <t>P00042</t>
  </si>
  <si>
    <t>F0039</t>
  </si>
  <si>
    <t>2.43</t>
  </si>
  <si>
    <t>P00043</t>
  </si>
  <si>
    <t>F0032</t>
  </si>
  <si>
    <t>P00044</t>
  </si>
  <si>
    <t>1.92</t>
  </si>
  <si>
    <t>P00045</t>
  </si>
  <si>
    <t>F0011</t>
  </si>
  <si>
    <t>0.75</t>
  </si>
  <si>
    <t>P00046</t>
  </si>
  <si>
    <t>1.12</t>
  </si>
  <si>
    <t>P00047</t>
  </si>
  <si>
    <t>1.37</t>
  </si>
  <si>
    <t>P00048</t>
  </si>
  <si>
    <t>F0037</t>
  </si>
  <si>
    <t>0.8</t>
  </si>
  <si>
    <t>P00049</t>
  </si>
  <si>
    <t>1.88</t>
  </si>
  <si>
    <t>P00050</t>
  </si>
  <si>
    <t>2.1</t>
  </si>
  <si>
    <t>P00051</t>
  </si>
  <si>
    <t>0.22</t>
  </si>
  <si>
    <t>P00052</t>
  </si>
  <si>
    <t>F0035</t>
  </si>
  <si>
    <t>1.52</t>
  </si>
  <si>
    <t>P00053</t>
  </si>
  <si>
    <t>F0008</t>
  </si>
  <si>
    <t>1.96</t>
  </si>
  <si>
    <t>P00054</t>
  </si>
  <si>
    <t>0.83</t>
  </si>
  <si>
    <t>P00055</t>
  </si>
  <si>
    <t>F0015</t>
  </si>
  <si>
    <t>1.98</t>
  </si>
  <si>
    <t>P00056</t>
  </si>
  <si>
    <t>2.41</t>
  </si>
  <si>
    <t>P00057</t>
  </si>
  <si>
    <t>P00058</t>
  </si>
  <si>
    <t>F0012</t>
  </si>
  <si>
    <t>0.21</t>
  </si>
  <si>
    <t>P00059</t>
  </si>
  <si>
    <t>1.2</t>
  </si>
  <si>
    <t>P00060</t>
  </si>
  <si>
    <t>F0047</t>
  </si>
  <si>
    <t>2.23</t>
  </si>
  <si>
    <t>P00061</t>
  </si>
  <si>
    <t>1.97</t>
  </si>
  <si>
    <t>P00062</t>
  </si>
  <si>
    <t>1.71</t>
  </si>
  <si>
    <t>P00063</t>
  </si>
  <si>
    <t>P00064</t>
  </si>
  <si>
    <t>1.49</t>
  </si>
  <si>
    <t>P00065</t>
  </si>
  <si>
    <t>1.02</t>
  </si>
  <si>
    <t>P00066</t>
  </si>
  <si>
    <t>P00067</t>
  </si>
  <si>
    <t>2.35</t>
  </si>
  <si>
    <t>P00068</t>
  </si>
  <si>
    <t>P00069</t>
  </si>
  <si>
    <t>F0007</t>
  </si>
  <si>
    <t>1.6</t>
  </si>
  <si>
    <t>P00070</t>
  </si>
  <si>
    <t>F0006</t>
  </si>
  <si>
    <t>P00071</t>
  </si>
  <si>
    <t>1.62</t>
  </si>
  <si>
    <t>P00072</t>
  </si>
  <si>
    <t>0.94</t>
  </si>
  <si>
    <t>P00073</t>
  </si>
  <si>
    <t>2.19</t>
  </si>
  <si>
    <t>P00074</t>
  </si>
  <si>
    <t>1.41</t>
  </si>
  <si>
    <t>P00075</t>
  </si>
  <si>
    <t>F0049</t>
  </si>
  <si>
    <t>P00076</t>
  </si>
  <si>
    <t>P00077</t>
  </si>
  <si>
    <t>F0010</t>
  </si>
  <si>
    <t>2.42</t>
  </si>
  <si>
    <t>P00078</t>
  </si>
  <si>
    <t>1.39</t>
  </si>
  <si>
    <t>P00079</t>
  </si>
  <si>
    <t>0.29</t>
  </si>
  <si>
    <t>P00080</t>
  </si>
  <si>
    <t>0.31</t>
  </si>
  <si>
    <t>Unknown</t>
  </si>
  <si>
    <t>Country</t>
  </si>
  <si>
    <t>Continent</t>
  </si>
  <si>
    <t>Colombia</t>
  </si>
  <si>
    <t>South America</t>
  </si>
  <si>
    <t>Ethiopia</t>
  </si>
  <si>
    <t>Africa</t>
  </si>
  <si>
    <t>Brazil</t>
  </si>
  <si>
    <t>Vietnam</t>
  </si>
  <si>
    <t>Asia</t>
  </si>
  <si>
    <t>F0013</t>
  </si>
  <si>
    <t>F0020</t>
  </si>
  <si>
    <t>F0021</t>
  </si>
  <si>
    <t>F0024</t>
  </si>
  <si>
    <t>F0031</t>
  </si>
  <si>
    <t>F0038</t>
  </si>
  <si>
    <t>F0044</t>
  </si>
  <si>
    <t>F0045</t>
  </si>
  <si>
    <t>FarmerID-Check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</si>
</sst>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65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" fontId="0" fillId="0" borderId="0" xfId="0" applyNumberFormat="1"/>
    <xf numFmtId="0" fontId="18" fillId="0" borderId="0" xfId="0" applyFont="1"/>
    <xf numFmtId="1" fontId="18" fillId="0" borderId="0" xfId="0" applyNumberFormat="1" applyFont="1"/>
    <xf numFmtId="0" fontId="18" fillId="0" borderId="10" xfId="0" applyFont="1" applyBorder="1" applyAlignment="1">
      <alignment horizontal="center" vertical="top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workbookViewId="0">
      <selection activeCell="C23" sqref="C23"/>
    </sheetView>
  </sheetViews>
  <sheetFormatPr defaultRowHeight="15" x14ac:dyDescent="0.25"/>
  <cols>
    <col min="1" max="1" width="7.42578125" bestFit="1" customWidth="1"/>
    <col min="2" max="2" width="10.140625" bestFit="1" customWidth="1"/>
    <col min="3" max="3" width="8.28515625" bestFit="1" customWidth="1"/>
    <col min="4" max="4" width="19.7109375" customWidth="1"/>
    <col min="5" max="5" width="15.140625" style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</row>
    <row r="3" spans="1:5" x14ac:dyDescent="0.25">
      <c r="A3" t="s">
        <v>9</v>
      </c>
      <c r="B3" t="s">
        <v>10</v>
      </c>
      <c r="C3" t="s">
        <v>11</v>
      </c>
      <c r="E3" s="1">
        <v>2019</v>
      </c>
    </row>
    <row r="4" spans="1:5" x14ac:dyDescent="0.25">
      <c r="A4" t="s">
        <v>12</v>
      </c>
      <c r="B4" t="s">
        <v>13</v>
      </c>
      <c r="C4" t="s">
        <v>14</v>
      </c>
      <c r="E4" s="1">
        <v>2019</v>
      </c>
    </row>
    <row r="5" spans="1:5" x14ac:dyDescent="0.25">
      <c r="A5" t="s">
        <v>15</v>
      </c>
      <c r="B5" t="s">
        <v>16</v>
      </c>
      <c r="C5" t="s">
        <v>17</v>
      </c>
      <c r="D5" t="s">
        <v>8</v>
      </c>
      <c r="E5" s="1">
        <v>2020</v>
      </c>
    </row>
    <row r="6" spans="1:5" x14ac:dyDescent="0.25">
      <c r="A6" t="s">
        <v>18</v>
      </c>
      <c r="B6" t="s">
        <v>19</v>
      </c>
      <c r="C6" t="s">
        <v>20</v>
      </c>
      <c r="D6" t="s">
        <v>21</v>
      </c>
      <c r="E6" s="1">
        <v>2018</v>
      </c>
    </row>
    <row r="7" spans="1:5" x14ac:dyDescent="0.25">
      <c r="A7" t="s">
        <v>22</v>
      </c>
      <c r="B7" t="s">
        <v>23</v>
      </c>
      <c r="C7" t="s">
        <v>24</v>
      </c>
    </row>
    <row r="8" spans="1:5" x14ac:dyDescent="0.25">
      <c r="A8" t="s">
        <v>25</v>
      </c>
      <c r="B8" t="s">
        <v>26</v>
      </c>
      <c r="C8" t="s">
        <v>27</v>
      </c>
      <c r="E8" s="1">
        <v>2020</v>
      </c>
    </row>
    <row r="9" spans="1:5" x14ac:dyDescent="0.25">
      <c r="A9" t="s">
        <v>28</v>
      </c>
      <c r="B9" t="s">
        <v>29</v>
      </c>
      <c r="C9" t="s">
        <v>30</v>
      </c>
      <c r="E9" s="1">
        <v>2020</v>
      </c>
    </row>
    <row r="10" spans="1:5" x14ac:dyDescent="0.25">
      <c r="A10" t="s">
        <v>31</v>
      </c>
      <c r="B10" t="s">
        <v>32</v>
      </c>
      <c r="C10" t="s">
        <v>33</v>
      </c>
      <c r="D10" t="s">
        <v>21</v>
      </c>
      <c r="E10" s="1">
        <v>2018</v>
      </c>
    </row>
    <row r="11" spans="1:5" x14ac:dyDescent="0.25">
      <c r="A11" t="s">
        <v>34</v>
      </c>
      <c r="B11" t="s">
        <v>35</v>
      </c>
      <c r="C11" t="s">
        <v>36</v>
      </c>
      <c r="E11" s="1">
        <v>2020</v>
      </c>
    </row>
    <row r="12" spans="1:5" x14ac:dyDescent="0.25">
      <c r="A12" t="s">
        <v>37</v>
      </c>
      <c r="B12" t="s">
        <v>38</v>
      </c>
      <c r="C12" t="s">
        <v>39</v>
      </c>
      <c r="D12" t="s">
        <v>21</v>
      </c>
      <c r="E12" s="1">
        <v>2018</v>
      </c>
    </row>
    <row r="13" spans="1:5" x14ac:dyDescent="0.25">
      <c r="A13" t="s">
        <v>40</v>
      </c>
      <c r="B13" t="s">
        <v>41</v>
      </c>
      <c r="C13" t="s">
        <v>42</v>
      </c>
      <c r="E13" s="1">
        <v>2019</v>
      </c>
    </row>
    <row r="14" spans="1:5" x14ac:dyDescent="0.25">
      <c r="A14" t="s">
        <v>43</v>
      </c>
      <c r="B14" t="s">
        <v>44</v>
      </c>
      <c r="C14" t="s">
        <v>45</v>
      </c>
      <c r="D14" t="s">
        <v>21</v>
      </c>
      <c r="E14" s="1">
        <v>2018</v>
      </c>
    </row>
    <row r="15" spans="1:5" x14ac:dyDescent="0.25">
      <c r="A15" t="s">
        <v>46</v>
      </c>
      <c r="B15" t="s">
        <v>47</v>
      </c>
      <c r="C15" t="s">
        <v>48</v>
      </c>
      <c r="E15" s="1">
        <v>2020</v>
      </c>
    </row>
    <row r="16" spans="1:5" x14ac:dyDescent="0.25">
      <c r="A16" t="s">
        <v>49</v>
      </c>
      <c r="B16" t="s">
        <v>50</v>
      </c>
      <c r="C16" t="s">
        <v>51</v>
      </c>
      <c r="D16" t="s">
        <v>21</v>
      </c>
      <c r="E16" s="1">
        <v>2019</v>
      </c>
    </row>
    <row r="17" spans="1:5" x14ac:dyDescent="0.25">
      <c r="A17" t="s">
        <v>52</v>
      </c>
      <c r="B17" t="s">
        <v>53</v>
      </c>
      <c r="C17" t="s">
        <v>54</v>
      </c>
      <c r="E17" s="1">
        <v>2021</v>
      </c>
    </row>
    <row r="18" spans="1:5" x14ac:dyDescent="0.25">
      <c r="A18" t="s">
        <v>55</v>
      </c>
      <c r="B18" t="s">
        <v>41</v>
      </c>
      <c r="C18" t="s">
        <v>56</v>
      </c>
    </row>
    <row r="19" spans="1:5" x14ac:dyDescent="0.25">
      <c r="A19" t="s">
        <v>57</v>
      </c>
      <c r="B19" t="s">
        <v>58</v>
      </c>
      <c r="C19" t="s">
        <v>59</v>
      </c>
      <c r="E19" s="1">
        <v>2019</v>
      </c>
    </row>
    <row r="20" spans="1:5" x14ac:dyDescent="0.25">
      <c r="A20" t="s">
        <v>60</v>
      </c>
      <c r="B20" t="s">
        <v>61</v>
      </c>
      <c r="C20" t="s">
        <v>62</v>
      </c>
      <c r="E20" s="1">
        <v>2018</v>
      </c>
    </row>
    <row r="21" spans="1:5" x14ac:dyDescent="0.25">
      <c r="A21" t="s">
        <v>63</v>
      </c>
      <c r="B21" t="s">
        <v>64</v>
      </c>
      <c r="C21" t="s">
        <v>65</v>
      </c>
      <c r="D21" t="s">
        <v>21</v>
      </c>
      <c r="E21" s="1">
        <v>2021</v>
      </c>
    </row>
    <row r="22" spans="1:5" x14ac:dyDescent="0.25">
      <c r="A22" t="s">
        <v>66</v>
      </c>
      <c r="B22" t="s">
        <v>67</v>
      </c>
      <c r="C22" t="s">
        <v>68</v>
      </c>
      <c r="E22" s="1">
        <v>2018</v>
      </c>
    </row>
    <row r="23" spans="1:5" x14ac:dyDescent="0.25">
      <c r="A23" t="s">
        <v>69</v>
      </c>
      <c r="B23" t="s">
        <v>35</v>
      </c>
      <c r="C23" t="s">
        <v>70</v>
      </c>
      <c r="E23" s="1">
        <v>2020</v>
      </c>
    </row>
    <row r="24" spans="1:5" x14ac:dyDescent="0.25">
      <c r="A24" t="s">
        <v>71</v>
      </c>
      <c r="B24" t="s">
        <v>72</v>
      </c>
      <c r="C24" t="s">
        <v>73</v>
      </c>
      <c r="D24" t="s">
        <v>8</v>
      </c>
      <c r="E24" s="1">
        <v>2018</v>
      </c>
    </row>
    <row r="25" spans="1:5" x14ac:dyDescent="0.25">
      <c r="A25" t="s">
        <v>74</v>
      </c>
      <c r="B25" t="s">
        <v>75</v>
      </c>
      <c r="C25" t="s">
        <v>76</v>
      </c>
      <c r="D25" t="s">
        <v>21</v>
      </c>
      <c r="E25" s="1">
        <v>2021</v>
      </c>
    </row>
    <row r="26" spans="1:5" x14ac:dyDescent="0.25">
      <c r="A26" t="s">
        <v>77</v>
      </c>
      <c r="B26" t="s">
        <v>72</v>
      </c>
      <c r="C26" t="s">
        <v>78</v>
      </c>
      <c r="D26" t="s">
        <v>8</v>
      </c>
      <c r="E26" s="1">
        <v>2021</v>
      </c>
    </row>
    <row r="27" spans="1:5" x14ac:dyDescent="0.25">
      <c r="A27" t="s">
        <v>79</v>
      </c>
      <c r="B27" t="s">
        <v>58</v>
      </c>
      <c r="C27" t="s">
        <v>80</v>
      </c>
      <c r="D27" t="s">
        <v>21</v>
      </c>
    </row>
    <row r="28" spans="1:5" x14ac:dyDescent="0.25">
      <c r="A28" t="s">
        <v>81</v>
      </c>
      <c r="B28" t="s">
        <v>82</v>
      </c>
      <c r="C28" t="s">
        <v>83</v>
      </c>
      <c r="D28" t="s">
        <v>8</v>
      </c>
      <c r="E28" s="1">
        <v>2021</v>
      </c>
    </row>
    <row r="29" spans="1:5" x14ac:dyDescent="0.25">
      <c r="A29" t="s">
        <v>84</v>
      </c>
      <c r="B29" t="s">
        <v>61</v>
      </c>
      <c r="C29" t="s">
        <v>85</v>
      </c>
      <c r="E29" s="1">
        <v>2021</v>
      </c>
    </row>
    <row r="30" spans="1:5" x14ac:dyDescent="0.25">
      <c r="A30" t="s">
        <v>86</v>
      </c>
      <c r="B30" t="s">
        <v>82</v>
      </c>
      <c r="C30" t="s">
        <v>87</v>
      </c>
      <c r="D30" t="s">
        <v>21</v>
      </c>
    </row>
    <row r="31" spans="1:5" x14ac:dyDescent="0.25">
      <c r="A31" t="s">
        <v>88</v>
      </c>
      <c r="B31" t="s">
        <v>89</v>
      </c>
      <c r="C31" t="s">
        <v>90</v>
      </c>
      <c r="D31" t="s">
        <v>8</v>
      </c>
    </row>
    <row r="32" spans="1:5" x14ac:dyDescent="0.25">
      <c r="A32" t="s">
        <v>91</v>
      </c>
      <c r="B32" t="s">
        <v>72</v>
      </c>
      <c r="C32" t="s">
        <v>92</v>
      </c>
      <c r="D32" t="s">
        <v>21</v>
      </c>
      <c r="E32" s="1">
        <v>2019</v>
      </c>
    </row>
    <row r="33" spans="1:5" x14ac:dyDescent="0.25">
      <c r="A33" t="s">
        <v>93</v>
      </c>
      <c r="B33" t="s">
        <v>82</v>
      </c>
      <c r="C33" t="s">
        <v>76</v>
      </c>
      <c r="E33" s="1">
        <v>2018</v>
      </c>
    </row>
    <row r="34" spans="1:5" x14ac:dyDescent="0.25">
      <c r="A34" t="s">
        <v>94</v>
      </c>
      <c r="B34" t="s">
        <v>29</v>
      </c>
      <c r="C34" t="s">
        <v>95</v>
      </c>
      <c r="D34" t="s">
        <v>21</v>
      </c>
      <c r="E34" s="1">
        <v>2021</v>
      </c>
    </row>
    <row r="35" spans="1:5" x14ac:dyDescent="0.25">
      <c r="A35" t="s">
        <v>96</v>
      </c>
      <c r="B35" t="s">
        <v>29</v>
      </c>
      <c r="C35" t="s">
        <v>97</v>
      </c>
      <c r="D35" t="s">
        <v>8</v>
      </c>
      <c r="E35" s="1">
        <v>2019</v>
      </c>
    </row>
    <row r="36" spans="1:5" x14ac:dyDescent="0.25">
      <c r="A36" t="s">
        <v>98</v>
      </c>
      <c r="B36" t="s">
        <v>99</v>
      </c>
      <c r="C36" t="s">
        <v>100</v>
      </c>
      <c r="D36" t="s">
        <v>8</v>
      </c>
    </row>
    <row r="37" spans="1:5" x14ac:dyDescent="0.25">
      <c r="A37" t="s">
        <v>101</v>
      </c>
      <c r="B37" t="s">
        <v>102</v>
      </c>
      <c r="C37" t="s">
        <v>103</v>
      </c>
      <c r="D37" t="s">
        <v>8</v>
      </c>
      <c r="E37" s="1">
        <v>2020</v>
      </c>
    </row>
    <row r="38" spans="1:5" x14ac:dyDescent="0.25">
      <c r="A38" t="s">
        <v>104</v>
      </c>
      <c r="B38" t="s">
        <v>99</v>
      </c>
      <c r="C38" t="s">
        <v>17</v>
      </c>
      <c r="E38" s="1">
        <v>2021</v>
      </c>
    </row>
    <row r="39" spans="1:5" x14ac:dyDescent="0.25">
      <c r="A39" t="s">
        <v>105</v>
      </c>
      <c r="B39" t="s">
        <v>106</v>
      </c>
      <c r="C39" t="s">
        <v>107</v>
      </c>
      <c r="D39" t="s">
        <v>8</v>
      </c>
      <c r="E39" s="1">
        <v>2021</v>
      </c>
    </row>
    <row r="40" spans="1:5" x14ac:dyDescent="0.25">
      <c r="A40" t="s">
        <v>108</v>
      </c>
      <c r="B40" t="s">
        <v>109</v>
      </c>
      <c r="C40" t="s">
        <v>110</v>
      </c>
      <c r="E40" s="1">
        <v>2020</v>
      </c>
    </row>
    <row r="41" spans="1:5" x14ac:dyDescent="0.25">
      <c r="A41" t="s">
        <v>111</v>
      </c>
      <c r="B41" t="s">
        <v>50</v>
      </c>
      <c r="C41" t="s">
        <v>112</v>
      </c>
      <c r="D41" t="s">
        <v>21</v>
      </c>
      <c r="E41" s="1">
        <v>2020</v>
      </c>
    </row>
    <row r="42" spans="1:5" x14ac:dyDescent="0.25">
      <c r="A42" t="s">
        <v>113</v>
      </c>
      <c r="B42" t="s">
        <v>114</v>
      </c>
      <c r="C42" t="s">
        <v>115</v>
      </c>
      <c r="E42" s="1">
        <v>2018</v>
      </c>
    </row>
    <row r="43" spans="1:5" x14ac:dyDescent="0.25">
      <c r="A43" t="s">
        <v>116</v>
      </c>
      <c r="B43" t="s">
        <v>117</v>
      </c>
      <c r="C43" t="s">
        <v>118</v>
      </c>
      <c r="D43" t="s">
        <v>8</v>
      </c>
      <c r="E43" s="1">
        <v>2018</v>
      </c>
    </row>
    <row r="44" spans="1:5" x14ac:dyDescent="0.25">
      <c r="A44" t="s">
        <v>119</v>
      </c>
      <c r="B44" t="s">
        <v>120</v>
      </c>
      <c r="C44" t="s">
        <v>39</v>
      </c>
      <c r="D44" t="s">
        <v>21</v>
      </c>
      <c r="E44" s="1">
        <v>2019</v>
      </c>
    </row>
    <row r="45" spans="1:5" x14ac:dyDescent="0.25">
      <c r="A45" t="s">
        <v>121</v>
      </c>
      <c r="B45" t="s">
        <v>41</v>
      </c>
      <c r="C45" t="s">
        <v>122</v>
      </c>
      <c r="D45" t="s">
        <v>21</v>
      </c>
      <c r="E45" s="1">
        <v>2020</v>
      </c>
    </row>
    <row r="46" spans="1:5" x14ac:dyDescent="0.25">
      <c r="A46" t="s">
        <v>123</v>
      </c>
      <c r="B46" t="s">
        <v>124</v>
      </c>
      <c r="C46" t="s">
        <v>125</v>
      </c>
      <c r="E46" s="1">
        <v>2018</v>
      </c>
    </row>
    <row r="47" spans="1:5" x14ac:dyDescent="0.25">
      <c r="A47" t="s">
        <v>126</v>
      </c>
      <c r="B47" t="s">
        <v>58</v>
      </c>
      <c r="C47" t="s">
        <v>127</v>
      </c>
    </row>
    <row r="48" spans="1:5" x14ac:dyDescent="0.25">
      <c r="A48" t="s">
        <v>128</v>
      </c>
      <c r="B48" t="s">
        <v>19</v>
      </c>
      <c r="C48" t="s">
        <v>129</v>
      </c>
      <c r="E48" s="1">
        <v>2021</v>
      </c>
    </row>
    <row r="49" spans="1:5" x14ac:dyDescent="0.25">
      <c r="A49" t="s">
        <v>130</v>
      </c>
      <c r="B49" t="s">
        <v>131</v>
      </c>
      <c r="C49" t="s">
        <v>132</v>
      </c>
      <c r="D49" t="s">
        <v>8</v>
      </c>
      <c r="E49" s="1">
        <v>2018</v>
      </c>
    </row>
    <row r="50" spans="1:5" x14ac:dyDescent="0.25">
      <c r="A50" t="s">
        <v>133</v>
      </c>
      <c r="B50" t="s">
        <v>114</v>
      </c>
      <c r="C50" t="s">
        <v>134</v>
      </c>
      <c r="D50" t="s">
        <v>21</v>
      </c>
    </row>
    <row r="51" spans="1:5" x14ac:dyDescent="0.25">
      <c r="A51" t="s">
        <v>135</v>
      </c>
      <c r="B51" t="s">
        <v>131</v>
      </c>
      <c r="C51" t="s">
        <v>136</v>
      </c>
      <c r="E51" s="1">
        <v>2018</v>
      </c>
    </row>
    <row r="52" spans="1:5" x14ac:dyDescent="0.25">
      <c r="A52" t="s">
        <v>137</v>
      </c>
      <c r="B52" t="s">
        <v>6</v>
      </c>
      <c r="C52" t="s">
        <v>138</v>
      </c>
      <c r="D52" t="s">
        <v>21</v>
      </c>
      <c r="E52" s="1">
        <v>2021</v>
      </c>
    </row>
    <row r="53" spans="1:5" x14ac:dyDescent="0.25">
      <c r="A53" t="s">
        <v>139</v>
      </c>
      <c r="B53" t="s">
        <v>140</v>
      </c>
      <c r="C53" t="s">
        <v>141</v>
      </c>
    </row>
    <row r="54" spans="1:5" x14ac:dyDescent="0.25">
      <c r="A54" t="s">
        <v>142</v>
      </c>
      <c r="B54" t="s">
        <v>143</v>
      </c>
      <c r="C54" t="s">
        <v>144</v>
      </c>
      <c r="D54" t="s">
        <v>8</v>
      </c>
      <c r="E54" s="1">
        <v>2021</v>
      </c>
    </row>
    <row r="55" spans="1:5" x14ac:dyDescent="0.25">
      <c r="A55" t="s">
        <v>145</v>
      </c>
      <c r="B55" t="s">
        <v>72</v>
      </c>
      <c r="C55" t="s">
        <v>146</v>
      </c>
      <c r="E55" s="1">
        <v>2020</v>
      </c>
    </row>
    <row r="56" spans="1:5" x14ac:dyDescent="0.25">
      <c r="A56" t="s">
        <v>147</v>
      </c>
      <c r="B56" t="s">
        <v>148</v>
      </c>
      <c r="C56" t="s">
        <v>149</v>
      </c>
      <c r="D56" t="s">
        <v>21</v>
      </c>
      <c r="E56" s="1">
        <v>2021</v>
      </c>
    </row>
    <row r="57" spans="1:5" x14ac:dyDescent="0.25">
      <c r="A57" t="s">
        <v>150</v>
      </c>
      <c r="B57" t="s">
        <v>82</v>
      </c>
      <c r="C57" t="s">
        <v>151</v>
      </c>
      <c r="E57" s="1">
        <v>2019</v>
      </c>
    </row>
    <row r="58" spans="1:5" x14ac:dyDescent="0.25">
      <c r="A58" t="s">
        <v>152</v>
      </c>
      <c r="B58" t="s">
        <v>41</v>
      </c>
      <c r="C58" t="s">
        <v>83</v>
      </c>
      <c r="D58" t="s">
        <v>21</v>
      </c>
    </row>
    <row r="59" spans="1:5" x14ac:dyDescent="0.25">
      <c r="A59" t="s">
        <v>153</v>
      </c>
      <c r="B59" t="s">
        <v>154</v>
      </c>
      <c r="C59" t="s">
        <v>155</v>
      </c>
      <c r="D59" t="s">
        <v>8</v>
      </c>
    </row>
    <row r="60" spans="1:5" x14ac:dyDescent="0.25">
      <c r="A60" t="s">
        <v>156</v>
      </c>
      <c r="B60" t="s">
        <v>6</v>
      </c>
      <c r="C60" t="s">
        <v>157</v>
      </c>
      <c r="E60" s="1">
        <v>2018</v>
      </c>
    </row>
    <row r="61" spans="1:5" x14ac:dyDescent="0.25">
      <c r="A61" t="s">
        <v>158</v>
      </c>
      <c r="B61" t="s">
        <v>159</v>
      </c>
      <c r="C61" t="s">
        <v>160</v>
      </c>
      <c r="D61" t="s">
        <v>21</v>
      </c>
      <c r="E61" s="1">
        <v>2018</v>
      </c>
    </row>
    <row r="62" spans="1:5" x14ac:dyDescent="0.25">
      <c r="A62" t="s">
        <v>161</v>
      </c>
      <c r="B62" t="s">
        <v>19</v>
      </c>
      <c r="C62" t="s">
        <v>162</v>
      </c>
      <c r="D62" t="s">
        <v>8</v>
      </c>
      <c r="E62" s="1">
        <v>2021</v>
      </c>
    </row>
    <row r="63" spans="1:5" x14ac:dyDescent="0.25">
      <c r="A63" t="s">
        <v>163</v>
      </c>
      <c r="B63" t="s">
        <v>10</v>
      </c>
      <c r="C63" t="s">
        <v>164</v>
      </c>
      <c r="D63" t="s">
        <v>21</v>
      </c>
      <c r="E63" s="1">
        <v>2021</v>
      </c>
    </row>
    <row r="64" spans="1:5" x14ac:dyDescent="0.25">
      <c r="A64" t="s">
        <v>165</v>
      </c>
      <c r="B64" t="s">
        <v>102</v>
      </c>
      <c r="C64" t="s">
        <v>110</v>
      </c>
      <c r="D64" t="s">
        <v>21</v>
      </c>
      <c r="E64" s="1">
        <v>2019</v>
      </c>
    </row>
    <row r="65" spans="1:5" x14ac:dyDescent="0.25">
      <c r="A65" t="s">
        <v>166</v>
      </c>
      <c r="B65" t="s">
        <v>102</v>
      </c>
      <c r="C65" t="s">
        <v>167</v>
      </c>
      <c r="D65" t="s">
        <v>8</v>
      </c>
    </row>
    <row r="66" spans="1:5" x14ac:dyDescent="0.25">
      <c r="A66" t="s">
        <v>168</v>
      </c>
      <c r="B66" t="s">
        <v>23</v>
      </c>
      <c r="C66" t="s">
        <v>169</v>
      </c>
    </row>
    <row r="67" spans="1:5" x14ac:dyDescent="0.25">
      <c r="A67" t="s">
        <v>170</v>
      </c>
      <c r="B67" t="s">
        <v>114</v>
      </c>
      <c r="C67" t="s">
        <v>68</v>
      </c>
      <c r="D67" t="s">
        <v>21</v>
      </c>
      <c r="E67" s="1">
        <v>2018</v>
      </c>
    </row>
    <row r="68" spans="1:5" x14ac:dyDescent="0.25">
      <c r="A68" t="s">
        <v>171</v>
      </c>
      <c r="B68" t="s">
        <v>140</v>
      </c>
      <c r="C68" t="s">
        <v>172</v>
      </c>
      <c r="E68" s="1">
        <v>2019</v>
      </c>
    </row>
    <row r="69" spans="1:5" x14ac:dyDescent="0.25">
      <c r="A69" t="s">
        <v>173</v>
      </c>
      <c r="B69" t="s">
        <v>114</v>
      </c>
      <c r="C69" t="s">
        <v>62</v>
      </c>
      <c r="D69" t="s">
        <v>8</v>
      </c>
    </row>
    <row r="70" spans="1:5" x14ac:dyDescent="0.25">
      <c r="A70" t="s">
        <v>174</v>
      </c>
      <c r="B70" t="s">
        <v>175</v>
      </c>
      <c r="C70" t="s">
        <v>176</v>
      </c>
      <c r="D70" t="s">
        <v>21</v>
      </c>
      <c r="E70" s="1">
        <v>2019</v>
      </c>
    </row>
    <row r="71" spans="1:5" x14ac:dyDescent="0.25">
      <c r="A71" t="s">
        <v>177</v>
      </c>
      <c r="B71" t="s">
        <v>178</v>
      </c>
      <c r="C71" t="s">
        <v>14</v>
      </c>
      <c r="D71" t="s">
        <v>21</v>
      </c>
    </row>
    <row r="72" spans="1:5" x14ac:dyDescent="0.25">
      <c r="A72" t="s">
        <v>179</v>
      </c>
      <c r="B72" t="s">
        <v>64</v>
      </c>
      <c r="C72" t="s">
        <v>180</v>
      </c>
      <c r="E72" s="1">
        <v>2018</v>
      </c>
    </row>
    <row r="73" spans="1:5" x14ac:dyDescent="0.25">
      <c r="A73" t="s">
        <v>181</v>
      </c>
      <c r="B73" t="s">
        <v>131</v>
      </c>
      <c r="C73" t="s">
        <v>182</v>
      </c>
      <c r="D73" t="s">
        <v>8</v>
      </c>
      <c r="E73" s="1">
        <v>2021</v>
      </c>
    </row>
    <row r="74" spans="1:5" x14ac:dyDescent="0.25">
      <c r="A74" t="s">
        <v>183</v>
      </c>
      <c r="B74" t="s">
        <v>13</v>
      </c>
      <c r="C74" t="s">
        <v>184</v>
      </c>
      <c r="D74" t="s">
        <v>8</v>
      </c>
      <c r="E74" s="1">
        <v>2020</v>
      </c>
    </row>
    <row r="75" spans="1:5" x14ac:dyDescent="0.25">
      <c r="A75" t="s">
        <v>185</v>
      </c>
      <c r="B75" t="s">
        <v>67</v>
      </c>
      <c r="C75" t="s">
        <v>186</v>
      </c>
      <c r="D75" t="s">
        <v>8</v>
      </c>
      <c r="E75" s="1">
        <v>2018</v>
      </c>
    </row>
    <row r="76" spans="1:5" x14ac:dyDescent="0.25">
      <c r="A76" t="s">
        <v>187</v>
      </c>
      <c r="B76" t="s">
        <v>188</v>
      </c>
      <c r="C76" t="s">
        <v>125</v>
      </c>
      <c r="D76" t="s">
        <v>8</v>
      </c>
    </row>
    <row r="77" spans="1:5" x14ac:dyDescent="0.25">
      <c r="A77" t="s">
        <v>189</v>
      </c>
      <c r="B77" t="s">
        <v>154</v>
      </c>
      <c r="C77" t="s">
        <v>169</v>
      </c>
      <c r="D77" t="s">
        <v>8</v>
      </c>
      <c r="E77" s="1">
        <v>2021</v>
      </c>
    </row>
    <row r="78" spans="1:5" x14ac:dyDescent="0.25">
      <c r="A78" t="s">
        <v>190</v>
      </c>
      <c r="B78" t="s">
        <v>191</v>
      </c>
      <c r="C78" t="s">
        <v>192</v>
      </c>
      <c r="D78" t="s">
        <v>8</v>
      </c>
      <c r="E78" s="1">
        <v>2020</v>
      </c>
    </row>
    <row r="79" spans="1:5" x14ac:dyDescent="0.25">
      <c r="A79" t="s">
        <v>193</v>
      </c>
      <c r="B79" t="s">
        <v>99</v>
      </c>
      <c r="C79" t="s">
        <v>194</v>
      </c>
      <c r="E79" s="1">
        <v>2019</v>
      </c>
    </row>
    <row r="80" spans="1:5" x14ac:dyDescent="0.25">
      <c r="A80" t="s">
        <v>195</v>
      </c>
      <c r="B80" t="s">
        <v>13</v>
      </c>
      <c r="C80" t="s">
        <v>196</v>
      </c>
    </row>
    <row r="81" spans="1:4" x14ac:dyDescent="0.25">
      <c r="A81" t="s">
        <v>197</v>
      </c>
      <c r="B81" t="s">
        <v>35</v>
      </c>
      <c r="C81" t="s">
        <v>198</v>
      </c>
      <c r="D81" t="s">
        <v>8</v>
      </c>
    </row>
  </sheetData>
  <autoFilter ref="A1:E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Views>
    <sheetView tabSelected="1" workbookViewId="0">
      <pane ySplit="1" topLeftCell="A62" activePane="bottomLeft" state="frozen"/>
      <selection pane="bottomLeft" activeCell="M74" sqref="M74"/>
    </sheetView>
  </sheetViews>
  <sheetFormatPr defaultRowHeight="15" x14ac:dyDescent="0.25"/>
  <cols>
    <col min="3" max="3" width="15.28515625" bestFit="1" customWidth="1"/>
    <col min="4" max="4" width="15.28515625" customWidth="1"/>
  </cols>
  <sheetData>
    <row r="1" spans="1:7" x14ac:dyDescent="0.25">
      <c r="A1" s="2" t="s">
        <v>0</v>
      </c>
      <c r="B1" s="2" t="s">
        <v>1</v>
      </c>
      <c r="C1" s="2" t="s">
        <v>217</v>
      </c>
      <c r="D1" s="2" t="s">
        <v>200</v>
      </c>
      <c r="E1" s="2" t="s">
        <v>2</v>
      </c>
      <c r="F1" s="2" t="s">
        <v>3</v>
      </c>
      <c r="G1" s="3" t="s">
        <v>4</v>
      </c>
    </row>
    <row r="2" spans="1:7" x14ac:dyDescent="0.25">
      <c r="A2" t="s">
        <v>5</v>
      </c>
      <c r="B2" t="s">
        <v>6</v>
      </c>
      <c r="C2" t="str">
        <f>IF(COUNTIF(Country_Continent!$A$2:$A$51,Used_Data!B2)=0,"Unknown","Provide")</f>
        <v>Provide</v>
      </c>
      <c r="D2" t="str">
        <f>VLOOKUP(B2,Country_Continent!$A$1:$B$51,2,FALSE)</f>
        <v>Ethiopia</v>
      </c>
      <c r="E2" t="s">
        <v>7</v>
      </c>
      <c r="F2" t="s">
        <v>8</v>
      </c>
      <c r="G2" s="1" t="s">
        <v>199</v>
      </c>
    </row>
    <row r="3" spans="1:7" x14ac:dyDescent="0.25">
      <c r="A3" t="s">
        <v>9</v>
      </c>
      <c r="B3" t="s">
        <v>10</v>
      </c>
      <c r="C3" t="str">
        <f>IF(COUNTIF(Country_Continent!$A$2:$A$51,Used_Data!B3)=0,"Unknown","Provide")</f>
        <v>Provide</v>
      </c>
      <c r="D3" t="str">
        <f>VLOOKUP(B3,Country_Continent!$A$1:$B$51,2,FALSE)</f>
        <v>Colombia</v>
      </c>
      <c r="E3" t="s">
        <v>11</v>
      </c>
      <c r="F3" t="s">
        <v>199</v>
      </c>
      <c r="G3" s="1">
        <v>2019</v>
      </c>
    </row>
    <row r="4" spans="1:7" x14ac:dyDescent="0.25">
      <c r="A4" t="s">
        <v>12</v>
      </c>
      <c r="B4" t="s">
        <v>13</v>
      </c>
      <c r="C4" t="str">
        <f>IF(COUNTIF(Country_Continent!$A$2:$A$51,Used_Data!B4)=0,"Unknown","Provide")</f>
        <v>Provide</v>
      </c>
      <c r="D4" t="str">
        <f>VLOOKUP(B4,Country_Continent!$A$1:$B$51,2,FALSE)</f>
        <v>Ethiopia</v>
      </c>
      <c r="E4" t="s">
        <v>14</v>
      </c>
      <c r="F4" t="s">
        <v>199</v>
      </c>
      <c r="G4" s="1">
        <v>2019</v>
      </c>
    </row>
    <row r="5" spans="1:7" x14ac:dyDescent="0.25">
      <c r="A5" t="s">
        <v>15</v>
      </c>
      <c r="B5" t="s">
        <v>16</v>
      </c>
      <c r="C5" t="str">
        <f>IF(COUNTIF(Country_Continent!$A$2:$A$51,Used_Data!B5)=0,"Unknown","Provide")</f>
        <v>Provide</v>
      </c>
      <c r="D5" t="str">
        <f>VLOOKUP(B5,Country_Continent!$A$1:$B$51,2,FALSE)</f>
        <v>Colombia</v>
      </c>
      <c r="E5" t="s">
        <v>17</v>
      </c>
      <c r="F5" t="s">
        <v>8</v>
      </c>
      <c r="G5" s="1">
        <v>2020</v>
      </c>
    </row>
    <row r="6" spans="1:7" x14ac:dyDescent="0.25">
      <c r="A6" t="s">
        <v>18</v>
      </c>
      <c r="B6" t="s">
        <v>19</v>
      </c>
      <c r="C6" t="str">
        <f>IF(COUNTIF(Country_Continent!$A$2:$A$51,Used_Data!B6)=0,"Unknown","Provide")</f>
        <v>Provide</v>
      </c>
      <c r="D6" t="str">
        <f>VLOOKUP(B6,Country_Continent!$A$1:$B$51,2,FALSE)</f>
        <v>Ethiopia</v>
      </c>
      <c r="E6" t="s">
        <v>20</v>
      </c>
      <c r="F6" t="s">
        <v>21</v>
      </c>
      <c r="G6" s="1">
        <v>2018</v>
      </c>
    </row>
    <row r="7" spans="1:7" x14ac:dyDescent="0.25">
      <c r="A7" t="s">
        <v>22</v>
      </c>
      <c r="B7" t="s">
        <v>23</v>
      </c>
      <c r="C7" t="str">
        <f>IF(COUNTIF(Country_Continent!$A$2:$A$51,Used_Data!B7)=0,"Unknown","Provide")</f>
        <v>Provide</v>
      </c>
      <c r="D7" t="str">
        <f>VLOOKUP(B7,Country_Continent!$A$1:$B$51,2,FALSE)</f>
        <v>Ethiopia</v>
      </c>
      <c r="E7" t="s">
        <v>24</v>
      </c>
      <c r="F7" t="s">
        <v>199</v>
      </c>
      <c r="G7" s="1" t="s">
        <v>199</v>
      </c>
    </row>
    <row r="8" spans="1:7" x14ac:dyDescent="0.25">
      <c r="A8" t="s">
        <v>25</v>
      </c>
      <c r="B8" t="s">
        <v>26</v>
      </c>
      <c r="C8" t="str">
        <f>IF(COUNTIF(Country_Continent!$A$2:$A$51,Used_Data!B8)=0,"Unknown","Provide")</f>
        <v>Provide</v>
      </c>
      <c r="D8" t="str">
        <f>VLOOKUP(B8,Country_Continent!$A$1:$B$51,2,FALSE)</f>
        <v>Unknown</v>
      </c>
      <c r="E8" t="s">
        <v>27</v>
      </c>
      <c r="F8" t="s">
        <v>199</v>
      </c>
      <c r="G8" s="1">
        <v>2020</v>
      </c>
    </row>
    <row r="9" spans="1:7" x14ac:dyDescent="0.25">
      <c r="A9" t="s">
        <v>28</v>
      </c>
      <c r="B9" t="s">
        <v>29</v>
      </c>
      <c r="C9" t="str">
        <f>IF(COUNTIF(Country_Continent!$A$2:$A$51,Used_Data!B9)=0,"Unknown","Provide")</f>
        <v>Provide</v>
      </c>
      <c r="D9" t="str">
        <f>VLOOKUP(B9,Country_Continent!$A$1:$B$51,2,FALSE)</f>
        <v>Vietnam</v>
      </c>
      <c r="E9" t="s">
        <v>30</v>
      </c>
      <c r="F9" t="s">
        <v>199</v>
      </c>
      <c r="G9" s="1">
        <v>2020</v>
      </c>
    </row>
    <row r="10" spans="1:7" x14ac:dyDescent="0.25">
      <c r="A10" t="s">
        <v>31</v>
      </c>
      <c r="B10" t="s">
        <v>32</v>
      </c>
      <c r="C10" t="str">
        <f>IF(COUNTIF(Country_Continent!$A$2:$A$51,Used_Data!B10)=0,"Unknown","Provide")</f>
        <v>Provide</v>
      </c>
      <c r="D10" t="str">
        <f>VLOOKUP(B10,Country_Continent!$A$1:$B$51,2,FALSE)</f>
        <v>Brazil</v>
      </c>
      <c r="E10" t="s">
        <v>33</v>
      </c>
      <c r="F10" t="s">
        <v>21</v>
      </c>
      <c r="G10" s="1">
        <v>2018</v>
      </c>
    </row>
    <row r="11" spans="1:7" x14ac:dyDescent="0.25">
      <c r="A11" t="s">
        <v>34</v>
      </c>
      <c r="B11" t="s">
        <v>35</v>
      </c>
      <c r="C11" t="str">
        <f>IF(COUNTIF(Country_Continent!$A$2:$A$51,Used_Data!B11)=0,"Unknown","Provide")</f>
        <v>Provide</v>
      </c>
      <c r="D11" t="str">
        <f>VLOOKUP(B11,Country_Continent!$A$1:$B$51,2,FALSE)</f>
        <v>Brazil</v>
      </c>
      <c r="E11" t="s">
        <v>36</v>
      </c>
      <c r="F11" t="s">
        <v>199</v>
      </c>
      <c r="G11" s="1">
        <v>2020</v>
      </c>
    </row>
    <row r="12" spans="1:7" x14ac:dyDescent="0.25">
      <c r="A12" t="s">
        <v>37</v>
      </c>
      <c r="B12" t="s">
        <v>38</v>
      </c>
      <c r="C12" t="str">
        <f>IF(COUNTIF(Country_Continent!$A$2:$A$51,Used_Data!B12)=0,"Unknown","Provide")</f>
        <v>Provide</v>
      </c>
      <c r="D12" t="str">
        <f>VLOOKUP(B12,Country_Continent!$A$1:$B$51,2,FALSE)</f>
        <v>Brazil</v>
      </c>
      <c r="E12" t="s">
        <v>39</v>
      </c>
      <c r="F12" t="s">
        <v>21</v>
      </c>
      <c r="G12" s="1">
        <v>2018</v>
      </c>
    </row>
    <row r="13" spans="1:7" x14ac:dyDescent="0.25">
      <c r="A13" t="s">
        <v>40</v>
      </c>
      <c r="B13" t="s">
        <v>41</v>
      </c>
      <c r="C13" t="str">
        <f>IF(COUNTIF(Country_Continent!$A$2:$A$51,Used_Data!B13)=0,"Unknown","Provide")</f>
        <v>Provide</v>
      </c>
      <c r="D13" t="str">
        <f>VLOOKUP(B13,Country_Continent!$A$1:$B$51,2,FALSE)</f>
        <v>Colombia</v>
      </c>
      <c r="E13" t="s">
        <v>42</v>
      </c>
      <c r="F13" t="s">
        <v>199</v>
      </c>
      <c r="G13" s="1">
        <v>2019</v>
      </c>
    </row>
    <row r="14" spans="1:7" x14ac:dyDescent="0.25">
      <c r="A14" t="s">
        <v>43</v>
      </c>
      <c r="B14" t="s">
        <v>44</v>
      </c>
      <c r="C14" t="str">
        <f>IF(COUNTIF(Country_Continent!$A$2:$A$51,Used_Data!B14)=0,"Unknown","Provide")</f>
        <v>Provide</v>
      </c>
      <c r="D14" t="str">
        <f>VLOOKUP(B14,Country_Continent!$A$1:$B$51,2,FALSE)</f>
        <v>Colombia</v>
      </c>
      <c r="E14" t="s">
        <v>45</v>
      </c>
      <c r="F14" t="s">
        <v>21</v>
      </c>
      <c r="G14" s="1">
        <v>2018</v>
      </c>
    </row>
    <row r="15" spans="1:7" x14ac:dyDescent="0.25">
      <c r="A15" t="s">
        <v>46</v>
      </c>
      <c r="B15" t="s">
        <v>47</v>
      </c>
      <c r="C15" t="str">
        <f>IF(COUNTIF(Country_Continent!$A$2:$A$51,Used_Data!B15)=0,"Unknown","Provide")</f>
        <v>Provide</v>
      </c>
      <c r="D15" t="str">
        <f>VLOOKUP(B15,Country_Continent!$A$1:$B$51,2,FALSE)</f>
        <v>Unknown</v>
      </c>
      <c r="E15" t="s">
        <v>48</v>
      </c>
      <c r="F15" t="s">
        <v>199</v>
      </c>
      <c r="G15" s="1">
        <v>2020</v>
      </c>
    </row>
    <row r="16" spans="1:7" x14ac:dyDescent="0.25">
      <c r="A16" t="s">
        <v>49</v>
      </c>
      <c r="B16" t="s">
        <v>50</v>
      </c>
      <c r="C16" t="str">
        <f>IF(COUNTIF(Country_Continent!$A$2:$A$51,Used_Data!B16)=0,"Unknown","Provide")</f>
        <v>Provide</v>
      </c>
      <c r="D16" t="str">
        <f>VLOOKUP(B16,Country_Continent!$A$1:$B$51,2,FALSE)</f>
        <v>Colombia</v>
      </c>
      <c r="E16" t="s">
        <v>51</v>
      </c>
      <c r="F16" t="s">
        <v>21</v>
      </c>
      <c r="G16" s="1">
        <v>2019</v>
      </c>
    </row>
    <row r="17" spans="1:7" x14ac:dyDescent="0.25">
      <c r="A17" t="s">
        <v>52</v>
      </c>
      <c r="B17" t="s">
        <v>53</v>
      </c>
      <c r="C17" t="str">
        <f>IF(COUNTIF(Country_Continent!$A$2:$A$51,Used_Data!B17)=0,"Unknown","Provide")</f>
        <v>Provide</v>
      </c>
      <c r="D17" t="str">
        <f>VLOOKUP(B17,Country_Continent!$A$1:$B$51,2,FALSE)</f>
        <v>Unknown</v>
      </c>
      <c r="E17" t="s">
        <v>54</v>
      </c>
      <c r="F17" t="s">
        <v>199</v>
      </c>
      <c r="G17" s="1">
        <v>2021</v>
      </c>
    </row>
    <row r="18" spans="1:7" x14ac:dyDescent="0.25">
      <c r="A18" t="s">
        <v>55</v>
      </c>
      <c r="B18" t="s">
        <v>41</v>
      </c>
      <c r="C18" t="str">
        <f>IF(COUNTIF(Country_Continent!$A$2:$A$51,Used_Data!B18)=0,"Unknown","Provide")</f>
        <v>Provide</v>
      </c>
      <c r="D18" t="str">
        <f>VLOOKUP(B18,Country_Continent!$A$1:$B$51,2,FALSE)</f>
        <v>Colombia</v>
      </c>
      <c r="E18" t="s">
        <v>56</v>
      </c>
      <c r="F18" t="s">
        <v>199</v>
      </c>
      <c r="G18" s="1" t="s">
        <v>199</v>
      </c>
    </row>
    <row r="19" spans="1:7" x14ac:dyDescent="0.25">
      <c r="A19" t="s">
        <v>57</v>
      </c>
      <c r="B19" t="s">
        <v>58</v>
      </c>
      <c r="C19" t="str">
        <f>IF(COUNTIF(Country_Continent!$A$2:$A$51,Used_Data!B19)=0,"Unknown","Provide")</f>
        <v>Provide</v>
      </c>
      <c r="D19" t="str">
        <f>VLOOKUP(B19,Country_Continent!$A$1:$B$51,2,FALSE)</f>
        <v>Colombia</v>
      </c>
      <c r="E19" t="s">
        <v>59</v>
      </c>
      <c r="F19" t="s">
        <v>199</v>
      </c>
      <c r="G19" s="1">
        <v>2019</v>
      </c>
    </row>
    <row r="20" spans="1:7" x14ac:dyDescent="0.25">
      <c r="A20" t="s">
        <v>60</v>
      </c>
      <c r="B20" t="s">
        <v>61</v>
      </c>
      <c r="C20" t="str">
        <f>IF(COUNTIF(Country_Continent!$A$2:$A$51,Used_Data!B20)=0,"Unknown","Provide")</f>
        <v>Provide</v>
      </c>
      <c r="D20" t="str">
        <f>VLOOKUP(B20,Country_Continent!$A$1:$B$51,2,FALSE)</f>
        <v>Unknown</v>
      </c>
      <c r="E20" t="s">
        <v>62</v>
      </c>
      <c r="F20" t="s">
        <v>199</v>
      </c>
      <c r="G20" s="1">
        <v>2018</v>
      </c>
    </row>
    <row r="21" spans="1:7" x14ac:dyDescent="0.25">
      <c r="A21" t="s">
        <v>63</v>
      </c>
      <c r="B21" t="s">
        <v>64</v>
      </c>
      <c r="C21" t="str">
        <f>IF(COUNTIF(Country_Continent!$A$2:$A$51,Used_Data!B21)=0,"Unknown","Provide")</f>
        <v>Provide</v>
      </c>
      <c r="D21" t="str">
        <f>VLOOKUP(B21,Country_Continent!$A$1:$B$51,2,FALSE)</f>
        <v>Unknown</v>
      </c>
      <c r="E21" t="s">
        <v>65</v>
      </c>
      <c r="F21" t="s">
        <v>21</v>
      </c>
      <c r="G21" s="1">
        <v>2021</v>
      </c>
    </row>
    <row r="22" spans="1:7" x14ac:dyDescent="0.25">
      <c r="A22" t="s">
        <v>66</v>
      </c>
      <c r="B22" t="s">
        <v>67</v>
      </c>
      <c r="C22" t="str">
        <f>IF(COUNTIF(Country_Continent!$A$2:$A$51,Used_Data!B22)=0,"Unknown","Provide")</f>
        <v>Provide</v>
      </c>
      <c r="D22" t="str">
        <f>VLOOKUP(B22,Country_Continent!$A$1:$B$51,2,FALSE)</f>
        <v>Brazil</v>
      </c>
      <c r="E22" t="s">
        <v>68</v>
      </c>
      <c r="F22" t="s">
        <v>199</v>
      </c>
      <c r="G22" s="1">
        <v>2018</v>
      </c>
    </row>
    <row r="23" spans="1:7" x14ac:dyDescent="0.25">
      <c r="A23" t="s">
        <v>69</v>
      </c>
      <c r="B23" t="s">
        <v>35</v>
      </c>
      <c r="C23" t="str">
        <f>IF(COUNTIF(Country_Continent!$A$2:$A$51,Used_Data!B23)=0,"Unknown","Provide")</f>
        <v>Provide</v>
      </c>
      <c r="D23" t="str">
        <f>VLOOKUP(B23,Country_Continent!$A$1:$B$51,2,FALSE)</f>
        <v>Brazil</v>
      </c>
      <c r="E23" t="s">
        <v>70</v>
      </c>
      <c r="F23" t="s">
        <v>199</v>
      </c>
      <c r="G23" s="1">
        <v>2020</v>
      </c>
    </row>
    <row r="24" spans="1:7" x14ac:dyDescent="0.25">
      <c r="A24" t="s">
        <v>71</v>
      </c>
      <c r="B24" t="s">
        <v>72</v>
      </c>
      <c r="C24" t="str">
        <f>IF(COUNTIF(Country_Continent!$A$2:$A$51,Used_Data!B24)=0,"Unknown","Provide")</f>
        <v>Provide</v>
      </c>
      <c r="D24" t="str">
        <f>VLOOKUP(B24,Country_Continent!$A$1:$B$51,2,FALSE)</f>
        <v>Colombia</v>
      </c>
      <c r="E24" t="s">
        <v>73</v>
      </c>
      <c r="F24" t="s">
        <v>8</v>
      </c>
      <c r="G24" s="1">
        <v>2018</v>
      </c>
    </row>
    <row r="25" spans="1:7" x14ac:dyDescent="0.25">
      <c r="A25" t="s">
        <v>74</v>
      </c>
      <c r="B25" t="s">
        <v>75</v>
      </c>
      <c r="C25" t="str">
        <f>IF(COUNTIF(Country_Continent!$A$2:$A$51,Used_Data!B25)=0,"Unknown","Provide")</f>
        <v>Provide</v>
      </c>
      <c r="D25" t="str">
        <f>VLOOKUP(B25,Country_Continent!$A$1:$B$51,2,FALSE)</f>
        <v>Ethiopia</v>
      </c>
      <c r="E25" t="s">
        <v>76</v>
      </c>
      <c r="F25" t="s">
        <v>21</v>
      </c>
      <c r="G25" s="1">
        <v>2021</v>
      </c>
    </row>
    <row r="26" spans="1:7" x14ac:dyDescent="0.25">
      <c r="A26" t="s">
        <v>77</v>
      </c>
      <c r="B26" t="s">
        <v>72</v>
      </c>
      <c r="C26" t="str">
        <f>IF(COUNTIF(Country_Continent!$A$2:$A$51,Used_Data!B26)=0,"Unknown","Provide")</f>
        <v>Provide</v>
      </c>
      <c r="D26" t="str">
        <f>VLOOKUP(B26,Country_Continent!$A$1:$B$51,2,FALSE)</f>
        <v>Colombia</v>
      </c>
      <c r="E26" t="s">
        <v>78</v>
      </c>
      <c r="F26" t="s">
        <v>8</v>
      </c>
      <c r="G26" s="1">
        <v>2021</v>
      </c>
    </row>
    <row r="27" spans="1:7" x14ac:dyDescent="0.25">
      <c r="A27" t="s">
        <v>79</v>
      </c>
      <c r="B27" t="s">
        <v>58</v>
      </c>
      <c r="C27" t="str">
        <f>IF(COUNTIF(Country_Continent!$A$2:$A$51,Used_Data!B27)=0,"Unknown","Provide")</f>
        <v>Provide</v>
      </c>
      <c r="D27" t="str">
        <f>VLOOKUP(B27,Country_Continent!$A$1:$B$51,2,FALSE)</f>
        <v>Colombia</v>
      </c>
      <c r="E27" t="s">
        <v>80</v>
      </c>
      <c r="F27" t="s">
        <v>21</v>
      </c>
      <c r="G27" s="1" t="s">
        <v>199</v>
      </c>
    </row>
    <row r="28" spans="1:7" x14ac:dyDescent="0.25">
      <c r="A28" t="s">
        <v>81</v>
      </c>
      <c r="B28" t="s">
        <v>82</v>
      </c>
      <c r="C28" t="str">
        <f>IF(COUNTIF(Country_Continent!$A$2:$A$51,Used_Data!B28)=0,"Unknown","Provide")</f>
        <v>Provide</v>
      </c>
      <c r="D28" t="str">
        <f>VLOOKUP(B28,Country_Continent!$A$1:$B$51,2,FALSE)</f>
        <v>Ethiopia</v>
      </c>
      <c r="E28" t="s">
        <v>83</v>
      </c>
      <c r="F28" t="s">
        <v>8</v>
      </c>
      <c r="G28" s="1">
        <v>2021</v>
      </c>
    </row>
    <row r="29" spans="1:7" x14ac:dyDescent="0.25">
      <c r="A29" t="s">
        <v>84</v>
      </c>
      <c r="B29" t="s">
        <v>61</v>
      </c>
      <c r="C29" t="str">
        <f>IF(COUNTIF(Country_Continent!$A$2:$A$51,Used_Data!B29)=0,"Unknown","Provide")</f>
        <v>Provide</v>
      </c>
      <c r="D29" t="str">
        <f>VLOOKUP(B29,Country_Continent!$A$1:$B$51,2,FALSE)</f>
        <v>Unknown</v>
      </c>
      <c r="E29" t="s">
        <v>85</v>
      </c>
      <c r="F29" t="s">
        <v>199</v>
      </c>
      <c r="G29" s="1">
        <v>2021</v>
      </c>
    </row>
    <row r="30" spans="1:7" x14ac:dyDescent="0.25">
      <c r="A30" t="s">
        <v>86</v>
      </c>
      <c r="B30" t="s">
        <v>82</v>
      </c>
      <c r="C30" t="str">
        <f>IF(COUNTIF(Country_Continent!$A$2:$A$51,Used_Data!B30)=0,"Unknown","Provide")</f>
        <v>Provide</v>
      </c>
      <c r="D30" t="str">
        <f>VLOOKUP(B30,Country_Continent!$A$1:$B$51,2,FALSE)</f>
        <v>Ethiopia</v>
      </c>
      <c r="E30" t="s">
        <v>87</v>
      </c>
      <c r="F30" t="s">
        <v>21</v>
      </c>
      <c r="G30" s="1" t="s">
        <v>199</v>
      </c>
    </row>
    <row r="31" spans="1:7" x14ac:dyDescent="0.25">
      <c r="A31" t="s">
        <v>88</v>
      </c>
      <c r="B31" t="s">
        <v>89</v>
      </c>
      <c r="C31" t="str">
        <f>IF(COUNTIF(Country_Continent!$A$2:$A$51,Used_Data!B31)=0,"Unknown","Provide")</f>
        <v>Provide</v>
      </c>
      <c r="D31" t="str">
        <f>VLOOKUP(B31,Country_Continent!$A$1:$B$51,2,FALSE)</f>
        <v>Vietnam</v>
      </c>
      <c r="E31" t="s">
        <v>90</v>
      </c>
      <c r="F31" t="s">
        <v>8</v>
      </c>
      <c r="G31" s="1" t="s">
        <v>199</v>
      </c>
    </row>
    <row r="32" spans="1:7" x14ac:dyDescent="0.25">
      <c r="A32" t="s">
        <v>91</v>
      </c>
      <c r="B32" t="s">
        <v>72</v>
      </c>
      <c r="C32" t="str">
        <f>IF(COUNTIF(Country_Continent!$A$2:$A$51,Used_Data!B32)=0,"Unknown","Provide")</f>
        <v>Provide</v>
      </c>
      <c r="D32" t="str">
        <f>VLOOKUP(B32,Country_Continent!$A$1:$B$51,2,FALSE)</f>
        <v>Colombia</v>
      </c>
      <c r="E32" t="s">
        <v>92</v>
      </c>
      <c r="F32" t="s">
        <v>21</v>
      </c>
      <c r="G32" s="1">
        <v>2019</v>
      </c>
    </row>
    <row r="33" spans="1:7" x14ac:dyDescent="0.25">
      <c r="A33" t="s">
        <v>93</v>
      </c>
      <c r="B33" t="s">
        <v>82</v>
      </c>
      <c r="C33" t="str">
        <f>IF(COUNTIF(Country_Continent!$A$2:$A$51,Used_Data!B33)=0,"Unknown","Provide")</f>
        <v>Provide</v>
      </c>
      <c r="D33" t="str">
        <f>VLOOKUP(B33,Country_Continent!$A$1:$B$51,2,FALSE)</f>
        <v>Ethiopia</v>
      </c>
      <c r="E33" t="s">
        <v>76</v>
      </c>
      <c r="F33" t="s">
        <v>199</v>
      </c>
      <c r="G33" s="1">
        <v>2018</v>
      </c>
    </row>
    <row r="34" spans="1:7" x14ac:dyDescent="0.25">
      <c r="A34" t="s">
        <v>94</v>
      </c>
      <c r="B34" t="s">
        <v>29</v>
      </c>
      <c r="C34" t="str">
        <f>IF(COUNTIF(Country_Continent!$A$2:$A$51,Used_Data!B34)=0,"Unknown","Provide")</f>
        <v>Provide</v>
      </c>
      <c r="D34" t="str">
        <f>VLOOKUP(B34,Country_Continent!$A$1:$B$51,2,FALSE)</f>
        <v>Vietnam</v>
      </c>
      <c r="E34" t="s">
        <v>95</v>
      </c>
      <c r="F34" t="s">
        <v>21</v>
      </c>
      <c r="G34" s="1">
        <v>2021</v>
      </c>
    </row>
    <row r="35" spans="1:7" x14ac:dyDescent="0.25">
      <c r="A35" t="s">
        <v>96</v>
      </c>
      <c r="B35" t="s">
        <v>29</v>
      </c>
      <c r="C35" t="str">
        <f>IF(COUNTIF(Country_Continent!$A$2:$A$51,Used_Data!B35)=0,"Unknown","Provide")</f>
        <v>Provide</v>
      </c>
      <c r="D35" t="str">
        <f>VLOOKUP(B35,Country_Continent!$A$1:$B$51,2,FALSE)</f>
        <v>Vietnam</v>
      </c>
      <c r="E35" t="s">
        <v>97</v>
      </c>
      <c r="F35" t="s">
        <v>8</v>
      </c>
      <c r="G35" s="1">
        <v>2019</v>
      </c>
    </row>
    <row r="36" spans="1:7" x14ac:dyDescent="0.25">
      <c r="A36" t="s">
        <v>98</v>
      </c>
      <c r="B36" t="s">
        <v>99</v>
      </c>
      <c r="C36" t="str">
        <f>IF(COUNTIF(Country_Continent!$A$2:$A$51,Used_Data!B36)=0,"Unknown","Provide")</f>
        <v>Provide</v>
      </c>
      <c r="D36" t="str">
        <f>VLOOKUP(B36,Country_Continent!$A$1:$B$51,2,FALSE)</f>
        <v>Unknown</v>
      </c>
      <c r="E36" t="s">
        <v>100</v>
      </c>
      <c r="F36" t="s">
        <v>8</v>
      </c>
      <c r="G36" s="1" t="s">
        <v>199</v>
      </c>
    </row>
    <row r="37" spans="1:7" x14ac:dyDescent="0.25">
      <c r="A37" t="s">
        <v>101</v>
      </c>
      <c r="B37" t="s">
        <v>102</v>
      </c>
      <c r="C37" t="str">
        <f>IF(COUNTIF(Country_Continent!$A$2:$A$51,Used_Data!B37)=0,"Unknown","Provide")</f>
        <v>Provide</v>
      </c>
      <c r="D37" t="str">
        <f>VLOOKUP(B37,Country_Continent!$A$1:$B$51,2,FALSE)</f>
        <v>Vietnam</v>
      </c>
      <c r="E37" t="s">
        <v>103</v>
      </c>
      <c r="F37" t="s">
        <v>8</v>
      </c>
      <c r="G37" s="1">
        <v>2020</v>
      </c>
    </row>
    <row r="38" spans="1:7" x14ac:dyDescent="0.25">
      <c r="A38" t="s">
        <v>104</v>
      </c>
      <c r="B38" t="s">
        <v>99</v>
      </c>
      <c r="C38" t="str">
        <f>IF(COUNTIF(Country_Continent!$A$2:$A$51,Used_Data!B38)=0,"Unknown","Provide")</f>
        <v>Provide</v>
      </c>
      <c r="D38" t="str">
        <f>VLOOKUP(B38,Country_Continent!$A$1:$B$51,2,FALSE)</f>
        <v>Unknown</v>
      </c>
      <c r="E38" t="s">
        <v>17</v>
      </c>
      <c r="F38" t="s">
        <v>199</v>
      </c>
      <c r="G38" s="1">
        <v>2021</v>
      </c>
    </row>
    <row r="39" spans="1:7" x14ac:dyDescent="0.25">
      <c r="A39" t="s">
        <v>105</v>
      </c>
      <c r="B39" t="s">
        <v>106</v>
      </c>
      <c r="C39" t="str">
        <f>IF(COUNTIF(Country_Continent!$A$2:$A$51,Used_Data!B39)=0,"Unknown","Provide")</f>
        <v>Provide</v>
      </c>
      <c r="D39" t="str">
        <f>VLOOKUP(B39,Country_Continent!$A$1:$B$51,2,FALSE)</f>
        <v>Brazil</v>
      </c>
      <c r="E39" t="s">
        <v>107</v>
      </c>
      <c r="F39" t="s">
        <v>8</v>
      </c>
      <c r="G39" s="1">
        <v>2021</v>
      </c>
    </row>
    <row r="40" spans="1:7" x14ac:dyDescent="0.25">
      <c r="A40" t="s">
        <v>108</v>
      </c>
      <c r="B40" t="s">
        <v>109</v>
      </c>
      <c r="C40" t="str">
        <f>IF(COUNTIF(Country_Continent!$A$2:$A$51,Used_Data!B40)=0,"Unknown","Provide")</f>
        <v>Provide</v>
      </c>
      <c r="D40" t="str">
        <f>VLOOKUP(B40,Country_Continent!$A$1:$B$51,2,FALSE)</f>
        <v>Brazil</v>
      </c>
      <c r="E40" t="s">
        <v>110</v>
      </c>
      <c r="F40" t="s">
        <v>199</v>
      </c>
      <c r="G40" s="1">
        <v>2020</v>
      </c>
    </row>
    <row r="41" spans="1:7" x14ac:dyDescent="0.25">
      <c r="A41" t="s">
        <v>111</v>
      </c>
      <c r="B41" t="s">
        <v>50</v>
      </c>
      <c r="C41" t="str">
        <f>IF(COUNTIF(Country_Continent!$A$2:$A$51,Used_Data!B41)=0,"Unknown","Provide")</f>
        <v>Provide</v>
      </c>
      <c r="D41" t="str">
        <f>VLOOKUP(B41,Country_Continent!$A$1:$B$51,2,FALSE)</f>
        <v>Colombia</v>
      </c>
      <c r="E41" t="s">
        <v>112</v>
      </c>
      <c r="F41" t="s">
        <v>21</v>
      </c>
      <c r="G41" s="1">
        <v>2020</v>
      </c>
    </row>
    <row r="42" spans="1:7" x14ac:dyDescent="0.25">
      <c r="A42" t="s">
        <v>113</v>
      </c>
      <c r="B42" t="s">
        <v>114</v>
      </c>
      <c r="C42" t="str">
        <f>IF(COUNTIF(Country_Continent!$A$2:$A$51,Used_Data!B42)=0,"Unknown","Provide")</f>
        <v>Provide</v>
      </c>
      <c r="D42" t="str">
        <f>VLOOKUP(B42,Country_Continent!$A$1:$B$51,2,FALSE)</f>
        <v>Brazil</v>
      </c>
      <c r="E42" t="s">
        <v>115</v>
      </c>
      <c r="F42" t="s">
        <v>199</v>
      </c>
      <c r="G42" s="1">
        <v>2018</v>
      </c>
    </row>
    <row r="43" spans="1:7" x14ac:dyDescent="0.25">
      <c r="A43" t="s">
        <v>116</v>
      </c>
      <c r="B43" t="s">
        <v>117</v>
      </c>
      <c r="C43" t="str">
        <f>IF(COUNTIF(Country_Continent!$A$2:$A$51,Used_Data!B43)=0,"Unknown","Provide")</f>
        <v>Provide</v>
      </c>
      <c r="D43" t="str">
        <f>VLOOKUP(B43,Country_Continent!$A$1:$B$51,2,FALSE)</f>
        <v>Vietnam</v>
      </c>
      <c r="E43" t="s">
        <v>118</v>
      </c>
      <c r="F43" t="s">
        <v>8</v>
      </c>
      <c r="G43" s="1">
        <v>2018</v>
      </c>
    </row>
    <row r="44" spans="1:7" x14ac:dyDescent="0.25">
      <c r="A44" t="s">
        <v>119</v>
      </c>
      <c r="B44" t="s">
        <v>120</v>
      </c>
      <c r="C44" t="str">
        <f>IF(COUNTIF(Country_Continent!$A$2:$A$51,Used_Data!B44)=0,"Unknown","Provide")</f>
        <v>Provide</v>
      </c>
      <c r="D44" t="str">
        <f>VLOOKUP(B44,Country_Continent!$A$1:$B$51,2,FALSE)</f>
        <v>Brazil</v>
      </c>
      <c r="E44" t="s">
        <v>39</v>
      </c>
      <c r="F44" t="s">
        <v>21</v>
      </c>
      <c r="G44" s="1">
        <v>2019</v>
      </c>
    </row>
    <row r="45" spans="1:7" x14ac:dyDescent="0.25">
      <c r="A45" t="s">
        <v>121</v>
      </c>
      <c r="B45" t="s">
        <v>41</v>
      </c>
      <c r="C45" t="str">
        <f>IF(COUNTIF(Country_Continent!$A$2:$A$51,Used_Data!B45)=0,"Unknown","Provide")</f>
        <v>Provide</v>
      </c>
      <c r="D45" t="str">
        <f>VLOOKUP(B45,Country_Continent!$A$1:$B$51,2,FALSE)</f>
        <v>Colombia</v>
      </c>
      <c r="E45" t="s">
        <v>122</v>
      </c>
      <c r="F45" t="s">
        <v>21</v>
      </c>
      <c r="G45" s="1">
        <v>2020</v>
      </c>
    </row>
    <row r="46" spans="1:7" x14ac:dyDescent="0.25">
      <c r="A46" t="s">
        <v>123</v>
      </c>
      <c r="B46" t="s">
        <v>124</v>
      </c>
      <c r="C46" t="str">
        <f>IF(COUNTIF(Country_Continent!$A$2:$A$51,Used_Data!B46)=0,"Unknown","Provide")</f>
        <v>Provide</v>
      </c>
      <c r="D46" t="str">
        <f>VLOOKUP(B46,Country_Continent!$A$1:$B$51,2,FALSE)</f>
        <v>Vietnam</v>
      </c>
      <c r="E46" t="s">
        <v>125</v>
      </c>
      <c r="F46" t="s">
        <v>199</v>
      </c>
      <c r="G46" s="1">
        <v>2018</v>
      </c>
    </row>
    <row r="47" spans="1:7" x14ac:dyDescent="0.25">
      <c r="A47" t="s">
        <v>126</v>
      </c>
      <c r="B47" t="s">
        <v>58</v>
      </c>
      <c r="C47" t="str">
        <f>IF(COUNTIF(Country_Continent!$A$2:$A$51,Used_Data!B47)=0,"Unknown","Provide")</f>
        <v>Provide</v>
      </c>
      <c r="D47" t="str">
        <f>VLOOKUP(B47,Country_Continent!$A$1:$B$51,2,FALSE)</f>
        <v>Colombia</v>
      </c>
      <c r="E47" t="s">
        <v>127</v>
      </c>
      <c r="F47" t="s">
        <v>199</v>
      </c>
      <c r="G47" s="1" t="s">
        <v>199</v>
      </c>
    </row>
    <row r="48" spans="1:7" x14ac:dyDescent="0.25">
      <c r="A48" t="s">
        <v>128</v>
      </c>
      <c r="B48" t="s">
        <v>19</v>
      </c>
      <c r="C48" t="str">
        <f>IF(COUNTIF(Country_Continent!$A$2:$A$51,Used_Data!B48)=0,"Unknown","Provide")</f>
        <v>Provide</v>
      </c>
      <c r="D48" t="str">
        <f>VLOOKUP(B48,Country_Continent!$A$1:$B$51,2,FALSE)</f>
        <v>Ethiopia</v>
      </c>
      <c r="E48" t="s">
        <v>129</v>
      </c>
      <c r="F48" t="s">
        <v>199</v>
      </c>
      <c r="G48" s="1">
        <v>2021</v>
      </c>
    </row>
    <row r="49" spans="1:7" x14ac:dyDescent="0.25">
      <c r="A49" t="s">
        <v>130</v>
      </c>
      <c r="B49" t="s">
        <v>131</v>
      </c>
      <c r="C49" t="str">
        <f>IF(COUNTIF(Country_Continent!$A$2:$A$51,Used_Data!B49)=0,"Unknown","Provide")</f>
        <v>Provide</v>
      </c>
      <c r="D49" t="str">
        <f>VLOOKUP(B49,Country_Continent!$A$1:$B$51,2,FALSE)</f>
        <v>Ethiopia</v>
      </c>
      <c r="E49" t="s">
        <v>132</v>
      </c>
      <c r="F49" t="s">
        <v>8</v>
      </c>
      <c r="G49" s="1">
        <v>2018</v>
      </c>
    </row>
    <row r="50" spans="1:7" x14ac:dyDescent="0.25">
      <c r="A50" t="s">
        <v>133</v>
      </c>
      <c r="B50" t="s">
        <v>114</v>
      </c>
      <c r="C50" t="str">
        <f>IF(COUNTIF(Country_Continent!$A$2:$A$51,Used_Data!B50)=0,"Unknown","Provide")</f>
        <v>Provide</v>
      </c>
      <c r="D50" t="str">
        <f>VLOOKUP(B50,Country_Continent!$A$1:$B$51,2,FALSE)</f>
        <v>Brazil</v>
      </c>
      <c r="E50" t="s">
        <v>134</v>
      </c>
      <c r="F50" t="s">
        <v>21</v>
      </c>
      <c r="G50" s="1" t="s">
        <v>199</v>
      </c>
    </row>
    <row r="51" spans="1:7" x14ac:dyDescent="0.25">
      <c r="A51" t="s">
        <v>135</v>
      </c>
      <c r="B51" t="s">
        <v>131</v>
      </c>
      <c r="C51" t="str">
        <f>IF(COUNTIF(Country_Continent!$A$2:$A$51,Used_Data!B51)=0,"Unknown","Provide")</f>
        <v>Provide</v>
      </c>
      <c r="D51" t="str">
        <f>VLOOKUP(B51,Country_Continent!$A$1:$B$51,2,FALSE)</f>
        <v>Ethiopia</v>
      </c>
      <c r="E51" t="s">
        <v>136</v>
      </c>
      <c r="F51" t="s">
        <v>199</v>
      </c>
      <c r="G51" s="1">
        <v>2018</v>
      </c>
    </row>
    <row r="52" spans="1:7" x14ac:dyDescent="0.25">
      <c r="A52" t="s">
        <v>137</v>
      </c>
      <c r="B52" t="s">
        <v>6</v>
      </c>
      <c r="C52" t="str">
        <f>IF(COUNTIF(Country_Continent!$A$2:$A$51,Used_Data!B52)=0,"Unknown","Provide")</f>
        <v>Provide</v>
      </c>
      <c r="D52" t="str">
        <f>VLOOKUP(B52,Country_Continent!$A$1:$B$51,2,FALSE)</f>
        <v>Ethiopia</v>
      </c>
      <c r="E52" t="s">
        <v>138</v>
      </c>
      <c r="F52" t="s">
        <v>21</v>
      </c>
      <c r="G52" s="1">
        <v>2021</v>
      </c>
    </row>
    <row r="53" spans="1:7" x14ac:dyDescent="0.25">
      <c r="A53" t="s">
        <v>139</v>
      </c>
      <c r="B53" t="s">
        <v>140</v>
      </c>
      <c r="C53" t="str">
        <f>IF(COUNTIF(Country_Continent!$A$2:$A$51,Used_Data!B53)=0,"Unknown","Provide")</f>
        <v>Provide</v>
      </c>
      <c r="D53" t="str">
        <f>VLOOKUP(B53,Country_Continent!$A$1:$B$51,2,FALSE)</f>
        <v>Ethiopia</v>
      </c>
      <c r="E53" t="s">
        <v>141</v>
      </c>
      <c r="F53" t="s">
        <v>199</v>
      </c>
      <c r="G53" s="1" t="s">
        <v>199</v>
      </c>
    </row>
    <row r="54" spans="1:7" x14ac:dyDescent="0.25">
      <c r="A54" t="s">
        <v>142</v>
      </c>
      <c r="B54" t="s">
        <v>143</v>
      </c>
      <c r="C54" t="str">
        <f>IF(COUNTIF(Country_Continent!$A$2:$A$51,Used_Data!B54)=0,"Unknown","Provide")</f>
        <v>Provide</v>
      </c>
      <c r="D54" t="str">
        <f>VLOOKUP(B54,Country_Continent!$A$1:$B$51,2,FALSE)</f>
        <v>Colombia</v>
      </c>
      <c r="E54" t="s">
        <v>144</v>
      </c>
      <c r="F54" t="s">
        <v>8</v>
      </c>
      <c r="G54" s="1">
        <v>2021</v>
      </c>
    </row>
    <row r="55" spans="1:7" x14ac:dyDescent="0.25">
      <c r="A55" t="s">
        <v>145</v>
      </c>
      <c r="B55" t="s">
        <v>72</v>
      </c>
      <c r="C55" t="str">
        <f>IF(COUNTIF(Country_Continent!$A$2:$A$51,Used_Data!B55)=0,"Unknown","Provide")</f>
        <v>Provide</v>
      </c>
      <c r="D55" t="str">
        <f>VLOOKUP(B55,Country_Continent!$A$1:$B$51,2,FALSE)</f>
        <v>Colombia</v>
      </c>
      <c r="E55" t="s">
        <v>146</v>
      </c>
      <c r="F55" t="s">
        <v>199</v>
      </c>
      <c r="G55" s="1">
        <v>2020</v>
      </c>
    </row>
    <row r="56" spans="1:7" x14ac:dyDescent="0.25">
      <c r="A56" t="s">
        <v>147</v>
      </c>
      <c r="B56" t="s">
        <v>148</v>
      </c>
      <c r="C56" t="str">
        <f>IF(COUNTIF(Country_Continent!$A$2:$A$51,Used_Data!B56)=0,"Unknown","Provide")</f>
        <v>Provide</v>
      </c>
      <c r="D56" t="str">
        <f>VLOOKUP(B56,Country_Continent!$A$1:$B$51,2,FALSE)</f>
        <v>Brazil</v>
      </c>
      <c r="E56" t="s">
        <v>149</v>
      </c>
      <c r="F56" t="s">
        <v>21</v>
      </c>
      <c r="G56" s="1">
        <v>2021</v>
      </c>
    </row>
    <row r="57" spans="1:7" x14ac:dyDescent="0.25">
      <c r="A57" t="s">
        <v>150</v>
      </c>
      <c r="B57" t="s">
        <v>82</v>
      </c>
      <c r="C57" t="str">
        <f>IF(COUNTIF(Country_Continent!$A$2:$A$51,Used_Data!B57)=0,"Unknown","Provide")</f>
        <v>Provide</v>
      </c>
      <c r="D57" t="str">
        <f>VLOOKUP(B57,Country_Continent!$A$1:$B$51,2,FALSE)</f>
        <v>Ethiopia</v>
      </c>
      <c r="E57" t="s">
        <v>151</v>
      </c>
      <c r="F57" t="s">
        <v>199</v>
      </c>
      <c r="G57" s="1">
        <v>2019</v>
      </c>
    </row>
    <row r="58" spans="1:7" x14ac:dyDescent="0.25">
      <c r="A58" t="s">
        <v>152</v>
      </c>
      <c r="B58" t="s">
        <v>41</v>
      </c>
      <c r="C58" t="str">
        <f>IF(COUNTIF(Country_Continent!$A$2:$A$51,Used_Data!B58)=0,"Unknown","Provide")</f>
        <v>Provide</v>
      </c>
      <c r="D58" t="str">
        <f>VLOOKUP(B58,Country_Continent!$A$1:$B$51,2,FALSE)</f>
        <v>Colombia</v>
      </c>
      <c r="E58" t="s">
        <v>83</v>
      </c>
      <c r="F58" t="s">
        <v>21</v>
      </c>
      <c r="G58" s="1" t="s">
        <v>199</v>
      </c>
    </row>
    <row r="59" spans="1:7" x14ac:dyDescent="0.25">
      <c r="A59" t="s">
        <v>153</v>
      </c>
      <c r="B59" t="s">
        <v>154</v>
      </c>
      <c r="C59" t="str">
        <f>IF(COUNTIF(Country_Continent!$A$2:$A$51,Used_Data!B59)=0,"Unknown","Provide")</f>
        <v>Provide</v>
      </c>
      <c r="D59" t="str">
        <f>VLOOKUP(B59,Country_Continent!$A$1:$B$51,2,FALSE)</f>
        <v>Ethiopia</v>
      </c>
      <c r="E59" t="s">
        <v>155</v>
      </c>
      <c r="F59" t="s">
        <v>8</v>
      </c>
      <c r="G59" s="1" t="s">
        <v>199</v>
      </c>
    </row>
    <row r="60" spans="1:7" x14ac:dyDescent="0.25">
      <c r="A60" t="s">
        <v>156</v>
      </c>
      <c r="B60" t="s">
        <v>6</v>
      </c>
      <c r="C60" t="str">
        <f>IF(COUNTIF(Country_Continent!$A$2:$A$51,Used_Data!B60)=0,"Unknown","Provide")</f>
        <v>Provide</v>
      </c>
      <c r="D60" t="str">
        <f>VLOOKUP(B60,Country_Continent!$A$1:$B$51,2,FALSE)</f>
        <v>Ethiopia</v>
      </c>
      <c r="E60" t="s">
        <v>157</v>
      </c>
      <c r="F60" t="s">
        <v>199</v>
      </c>
      <c r="G60" s="1">
        <v>2018</v>
      </c>
    </row>
    <row r="61" spans="1:7" x14ac:dyDescent="0.25">
      <c r="A61" t="s">
        <v>158</v>
      </c>
      <c r="B61" t="s">
        <v>159</v>
      </c>
      <c r="C61" t="str">
        <f>IF(COUNTIF(Country_Continent!$A$2:$A$51,Used_Data!B61)=0,"Unknown","Provide")</f>
        <v>Provide</v>
      </c>
      <c r="D61" t="str">
        <f>VLOOKUP(B61,Country_Continent!$A$1:$B$51,2,FALSE)</f>
        <v>Brazil</v>
      </c>
      <c r="E61" t="s">
        <v>160</v>
      </c>
      <c r="F61" t="s">
        <v>21</v>
      </c>
      <c r="G61" s="1">
        <v>2018</v>
      </c>
    </row>
    <row r="62" spans="1:7" x14ac:dyDescent="0.25">
      <c r="A62" t="s">
        <v>161</v>
      </c>
      <c r="B62" t="s">
        <v>19</v>
      </c>
      <c r="C62" t="str">
        <f>IF(COUNTIF(Country_Continent!$A$2:$A$51,Used_Data!B62)=0,"Unknown","Provide")</f>
        <v>Provide</v>
      </c>
      <c r="D62" t="str">
        <f>VLOOKUP(B62,Country_Continent!$A$1:$B$51,2,FALSE)</f>
        <v>Ethiopia</v>
      </c>
      <c r="E62" t="s">
        <v>162</v>
      </c>
      <c r="F62" t="s">
        <v>8</v>
      </c>
      <c r="G62" s="1">
        <v>2021</v>
      </c>
    </row>
    <row r="63" spans="1:7" x14ac:dyDescent="0.25">
      <c r="A63" t="s">
        <v>163</v>
      </c>
      <c r="B63" t="s">
        <v>10</v>
      </c>
      <c r="C63" t="str">
        <f>IF(COUNTIF(Country_Continent!$A$2:$A$51,Used_Data!B63)=0,"Unknown","Provide")</f>
        <v>Provide</v>
      </c>
      <c r="D63" t="str">
        <f>VLOOKUP(B63,Country_Continent!$A$1:$B$51,2,FALSE)</f>
        <v>Colombia</v>
      </c>
      <c r="E63" t="s">
        <v>164</v>
      </c>
      <c r="F63" t="s">
        <v>21</v>
      </c>
      <c r="G63" s="1">
        <v>2021</v>
      </c>
    </row>
    <row r="64" spans="1:7" x14ac:dyDescent="0.25">
      <c r="A64" t="s">
        <v>165</v>
      </c>
      <c r="B64" t="s">
        <v>102</v>
      </c>
      <c r="C64" t="str">
        <f>IF(COUNTIF(Country_Continent!$A$2:$A$51,Used_Data!B64)=0,"Unknown","Provide")</f>
        <v>Provide</v>
      </c>
      <c r="D64" t="str">
        <f>VLOOKUP(B64,Country_Continent!$A$1:$B$51,2,FALSE)</f>
        <v>Vietnam</v>
      </c>
      <c r="E64" t="s">
        <v>110</v>
      </c>
      <c r="F64" t="s">
        <v>21</v>
      </c>
      <c r="G64" s="1">
        <v>2019</v>
      </c>
    </row>
    <row r="65" spans="1:7" x14ac:dyDescent="0.25">
      <c r="A65" t="s">
        <v>166</v>
      </c>
      <c r="B65" t="s">
        <v>102</v>
      </c>
      <c r="C65" t="str">
        <f>IF(COUNTIF(Country_Continent!$A$2:$A$51,Used_Data!B65)=0,"Unknown","Provide")</f>
        <v>Provide</v>
      </c>
      <c r="D65" t="str">
        <f>VLOOKUP(B65,Country_Continent!$A$1:$B$51,2,FALSE)</f>
        <v>Vietnam</v>
      </c>
      <c r="E65" t="s">
        <v>167</v>
      </c>
      <c r="F65" t="s">
        <v>8</v>
      </c>
      <c r="G65" s="1" t="s">
        <v>199</v>
      </c>
    </row>
    <row r="66" spans="1:7" x14ac:dyDescent="0.25">
      <c r="A66" t="s">
        <v>168</v>
      </c>
      <c r="B66" t="s">
        <v>23</v>
      </c>
      <c r="C66" t="str">
        <f>IF(COUNTIF(Country_Continent!$A$2:$A$51,Used_Data!B66)=0,"Unknown","Provide")</f>
        <v>Provide</v>
      </c>
      <c r="D66" t="str">
        <f>VLOOKUP(B66,Country_Continent!$A$1:$B$51,2,FALSE)</f>
        <v>Ethiopia</v>
      </c>
      <c r="E66" t="s">
        <v>169</v>
      </c>
      <c r="F66" t="s">
        <v>199</v>
      </c>
      <c r="G66" s="1" t="s">
        <v>199</v>
      </c>
    </row>
    <row r="67" spans="1:7" x14ac:dyDescent="0.25">
      <c r="A67" t="s">
        <v>170</v>
      </c>
      <c r="B67" t="s">
        <v>114</v>
      </c>
      <c r="C67" t="str">
        <f>IF(COUNTIF(Country_Continent!$A$2:$A$51,Used_Data!B67)=0,"Unknown","Provide")</f>
        <v>Provide</v>
      </c>
      <c r="D67" t="str">
        <f>VLOOKUP(B67,Country_Continent!$A$1:$B$51,2,FALSE)</f>
        <v>Brazil</v>
      </c>
      <c r="E67" t="s">
        <v>68</v>
      </c>
      <c r="F67" t="s">
        <v>21</v>
      </c>
      <c r="G67" s="1">
        <v>2018</v>
      </c>
    </row>
    <row r="68" spans="1:7" x14ac:dyDescent="0.25">
      <c r="A68" t="s">
        <v>171</v>
      </c>
      <c r="B68" t="s">
        <v>140</v>
      </c>
      <c r="C68" t="str">
        <f>IF(COUNTIF(Country_Continent!$A$2:$A$51,Used_Data!B68)=0,"Unknown","Provide")</f>
        <v>Provide</v>
      </c>
      <c r="D68" t="str">
        <f>VLOOKUP(B68,Country_Continent!$A$1:$B$51,2,FALSE)</f>
        <v>Ethiopia</v>
      </c>
      <c r="E68" t="s">
        <v>172</v>
      </c>
      <c r="F68" t="s">
        <v>199</v>
      </c>
      <c r="G68" s="1">
        <v>2019</v>
      </c>
    </row>
    <row r="69" spans="1:7" x14ac:dyDescent="0.25">
      <c r="A69" t="s">
        <v>173</v>
      </c>
      <c r="B69" t="s">
        <v>114</v>
      </c>
      <c r="C69" t="str">
        <f>IF(COUNTIF(Country_Continent!$A$2:$A$51,Used_Data!B69)=0,"Unknown","Provide")</f>
        <v>Provide</v>
      </c>
      <c r="D69" t="str">
        <f>VLOOKUP(B69,Country_Continent!$A$1:$B$51,2,FALSE)</f>
        <v>Brazil</v>
      </c>
      <c r="E69" t="s">
        <v>62</v>
      </c>
      <c r="F69" t="s">
        <v>8</v>
      </c>
      <c r="G69" s="1" t="s">
        <v>199</v>
      </c>
    </row>
    <row r="70" spans="1:7" x14ac:dyDescent="0.25">
      <c r="A70" t="s">
        <v>174</v>
      </c>
      <c r="B70" t="s">
        <v>175</v>
      </c>
      <c r="C70" t="str">
        <f>IF(COUNTIF(Country_Continent!$A$2:$A$51,Used_Data!B70)=0,"Unknown","Provide")</f>
        <v>Provide</v>
      </c>
      <c r="D70" t="str">
        <f>VLOOKUP(B70,Country_Continent!$A$1:$B$51,2,FALSE)</f>
        <v>Colombia</v>
      </c>
      <c r="E70" t="s">
        <v>176</v>
      </c>
      <c r="F70" t="s">
        <v>21</v>
      </c>
      <c r="G70" s="1">
        <v>2019</v>
      </c>
    </row>
    <row r="71" spans="1:7" x14ac:dyDescent="0.25">
      <c r="A71" t="s">
        <v>177</v>
      </c>
      <c r="B71" t="s">
        <v>178</v>
      </c>
      <c r="C71" t="str">
        <f>IF(COUNTIF(Country_Continent!$A$2:$A$51,Used_Data!B71)=0,"Unknown","Provide")</f>
        <v>Provide</v>
      </c>
      <c r="D71" t="str">
        <f>VLOOKUP(B71,Country_Continent!$A$1:$B$51,2,FALSE)</f>
        <v>Colombia</v>
      </c>
      <c r="E71" t="s">
        <v>14</v>
      </c>
      <c r="F71" t="s">
        <v>21</v>
      </c>
      <c r="G71" s="1" t="s">
        <v>199</v>
      </c>
    </row>
    <row r="72" spans="1:7" x14ac:dyDescent="0.25">
      <c r="A72" t="s">
        <v>179</v>
      </c>
      <c r="B72" t="s">
        <v>64</v>
      </c>
      <c r="C72" t="str">
        <f>IF(COUNTIF(Country_Continent!$A$2:$A$51,Used_Data!B72)=0,"Unknown","Provide")</f>
        <v>Provide</v>
      </c>
      <c r="D72" t="str">
        <f>VLOOKUP(B72,Country_Continent!$A$1:$B$51,2,FALSE)</f>
        <v>Unknown</v>
      </c>
      <c r="E72" t="s">
        <v>180</v>
      </c>
      <c r="F72" t="s">
        <v>199</v>
      </c>
      <c r="G72" s="1">
        <v>2018</v>
      </c>
    </row>
    <row r="73" spans="1:7" x14ac:dyDescent="0.25">
      <c r="A73" t="s">
        <v>181</v>
      </c>
      <c r="B73" t="s">
        <v>131</v>
      </c>
      <c r="C73" t="str">
        <f>IF(COUNTIF(Country_Continent!$A$2:$A$51,Used_Data!B73)=0,"Unknown","Provide")</f>
        <v>Provide</v>
      </c>
      <c r="D73" t="str">
        <f>VLOOKUP(B73,Country_Continent!$A$1:$B$51,2,FALSE)</f>
        <v>Ethiopia</v>
      </c>
      <c r="E73" t="s">
        <v>182</v>
      </c>
      <c r="F73" t="s">
        <v>8</v>
      </c>
      <c r="G73" s="1">
        <v>2021</v>
      </c>
    </row>
    <row r="74" spans="1:7" x14ac:dyDescent="0.25">
      <c r="A74" t="s">
        <v>183</v>
      </c>
      <c r="B74" t="s">
        <v>13</v>
      </c>
      <c r="C74" t="str">
        <f>IF(COUNTIF(Country_Continent!$A$2:$A$51,Used_Data!B74)=0,"Unknown","Provide")</f>
        <v>Provide</v>
      </c>
      <c r="D74" t="str">
        <f>VLOOKUP(B74,Country_Continent!$A$1:$B$51,2,FALSE)</f>
        <v>Ethiopia</v>
      </c>
      <c r="E74" t="s">
        <v>184</v>
      </c>
      <c r="F74" t="s">
        <v>8</v>
      </c>
      <c r="G74" s="1">
        <v>2020</v>
      </c>
    </row>
    <row r="75" spans="1:7" x14ac:dyDescent="0.25">
      <c r="A75" t="s">
        <v>185</v>
      </c>
      <c r="B75" t="s">
        <v>67</v>
      </c>
      <c r="C75" t="str">
        <f>IF(COUNTIF(Country_Continent!$A$2:$A$51,Used_Data!B75)=0,"Unknown","Provide")</f>
        <v>Provide</v>
      </c>
      <c r="D75" t="str">
        <f>VLOOKUP(B75,Country_Continent!$A$1:$B$51,2,FALSE)</f>
        <v>Brazil</v>
      </c>
      <c r="E75" t="s">
        <v>186</v>
      </c>
      <c r="F75" t="s">
        <v>8</v>
      </c>
      <c r="G75" s="1">
        <v>2018</v>
      </c>
    </row>
    <row r="76" spans="1:7" x14ac:dyDescent="0.25">
      <c r="A76" t="s">
        <v>187</v>
      </c>
      <c r="B76" t="s">
        <v>188</v>
      </c>
      <c r="C76" t="str">
        <f>IF(COUNTIF(Country_Continent!$A$2:$A$51,Used_Data!B76)=0,"Unknown","Provide")</f>
        <v>Provide</v>
      </c>
      <c r="D76" t="str">
        <f>VLOOKUP(B76,Country_Continent!$A$1:$B$51,2,FALSE)</f>
        <v>Brazil</v>
      </c>
      <c r="E76" t="s">
        <v>125</v>
      </c>
      <c r="F76" t="s">
        <v>8</v>
      </c>
      <c r="G76" s="1" t="s">
        <v>199</v>
      </c>
    </row>
    <row r="77" spans="1:7" x14ac:dyDescent="0.25">
      <c r="A77" t="s">
        <v>189</v>
      </c>
      <c r="B77" t="s">
        <v>154</v>
      </c>
      <c r="C77" t="str">
        <f>IF(COUNTIF(Country_Continent!$A$2:$A$51,Used_Data!B77)=0,"Unknown","Provide")</f>
        <v>Provide</v>
      </c>
      <c r="D77" t="str">
        <f>VLOOKUP(B77,Country_Continent!$A$1:$B$51,2,FALSE)</f>
        <v>Ethiopia</v>
      </c>
      <c r="E77" t="s">
        <v>169</v>
      </c>
      <c r="F77" t="s">
        <v>8</v>
      </c>
      <c r="G77" s="1">
        <v>2021</v>
      </c>
    </row>
    <row r="78" spans="1:7" x14ac:dyDescent="0.25">
      <c r="A78" t="s">
        <v>190</v>
      </c>
      <c r="B78" t="s">
        <v>191</v>
      </c>
      <c r="C78" t="str">
        <f>IF(COUNTIF(Country_Continent!$A$2:$A$51,Used_Data!B78)=0,"Unknown","Provide")</f>
        <v>Provide</v>
      </c>
      <c r="D78" t="str">
        <f>VLOOKUP(B78,Country_Continent!$A$1:$B$51,2,FALSE)</f>
        <v>Colombia</v>
      </c>
      <c r="E78" t="s">
        <v>192</v>
      </c>
      <c r="F78" t="s">
        <v>8</v>
      </c>
      <c r="G78" s="1">
        <v>2020</v>
      </c>
    </row>
    <row r="79" spans="1:7" x14ac:dyDescent="0.25">
      <c r="A79" t="s">
        <v>193</v>
      </c>
      <c r="B79" t="s">
        <v>99</v>
      </c>
      <c r="C79" t="str">
        <f>IF(COUNTIF(Country_Continent!$A$2:$A$51,Used_Data!B79)=0,"Unknown","Provide")</f>
        <v>Provide</v>
      </c>
      <c r="D79" t="str">
        <f>VLOOKUP(B79,Country_Continent!$A$1:$B$51,2,FALSE)</f>
        <v>Unknown</v>
      </c>
      <c r="E79" t="s">
        <v>194</v>
      </c>
      <c r="F79" t="s">
        <v>199</v>
      </c>
      <c r="G79" s="1">
        <v>2019</v>
      </c>
    </row>
    <row r="80" spans="1:7" x14ac:dyDescent="0.25">
      <c r="A80" t="s">
        <v>195</v>
      </c>
      <c r="B80" t="s">
        <v>13</v>
      </c>
      <c r="C80" t="str">
        <f>IF(COUNTIF(Country_Continent!$A$2:$A$51,Used_Data!B80)=0,"Unknown","Provide")</f>
        <v>Provide</v>
      </c>
      <c r="D80" t="str">
        <f>VLOOKUP(B80,Country_Continent!$A$1:$B$51,2,FALSE)</f>
        <v>Ethiopia</v>
      </c>
      <c r="E80" t="s">
        <v>196</v>
      </c>
      <c r="F80" t="s">
        <v>199</v>
      </c>
      <c r="G80" s="1" t="s">
        <v>199</v>
      </c>
    </row>
    <row r="81" spans="1:7" x14ac:dyDescent="0.25">
      <c r="A81" t="s">
        <v>197</v>
      </c>
      <c r="B81" t="s">
        <v>35</v>
      </c>
      <c r="C81" t="str">
        <f>IF(COUNTIF(Country_Continent!$A$2:$A$51,Used_Data!B81)=0,"Unknown","Provide")</f>
        <v>Provide</v>
      </c>
      <c r="D81" t="str">
        <f>VLOOKUP(B81,Country_Continent!$A$1:$B$51,2,FALSE)</f>
        <v>Brazil</v>
      </c>
      <c r="E81" t="s">
        <v>198</v>
      </c>
      <c r="F81" t="s">
        <v>8</v>
      </c>
      <c r="G81" s="1" t="s">
        <v>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workbookViewId="0">
      <selection activeCell="C36" sqref="C36"/>
    </sheetView>
  </sheetViews>
  <sheetFormatPr defaultRowHeight="15" x14ac:dyDescent="0.25"/>
  <cols>
    <col min="1" max="1" width="10.140625" bestFit="1" customWidth="1"/>
    <col min="2" max="2" width="9.42578125" bestFit="1" customWidth="1"/>
    <col min="3" max="3" width="14" bestFit="1" customWidth="1"/>
  </cols>
  <sheetData>
    <row r="1" spans="1:3" x14ac:dyDescent="0.25">
      <c r="A1" s="4" t="s">
        <v>1</v>
      </c>
      <c r="B1" s="4" t="s">
        <v>200</v>
      </c>
      <c r="C1" s="4" t="s">
        <v>201</v>
      </c>
    </row>
    <row r="2" spans="1:3" x14ac:dyDescent="0.25">
      <c r="A2" s="5" t="s">
        <v>41</v>
      </c>
      <c r="B2" s="5" t="s">
        <v>202</v>
      </c>
      <c r="C2" s="5" t="s">
        <v>203</v>
      </c>
    </row>
    <row r="3" spans="1:3" x14ac:dyDescent="0.25">
      <c r="A3" s="5" t="s">
        <v>10</v>
      </c>
      <c r="B3" s="5" t="s">
        <v>202</v>
      </c>
      <c r="C3" s="5" t="s">
        <v>203</v>
      </c>
    </row>
    <row r="4" spans="1:3" x14ac:dyDescent="0.25">
      <c r="A4" s="5" t="s">
        <v>72</v>
      </c>
      <c r="B4" s="5" t="s">
        <v>202</v>
      </c>
      <c r="C4" s="5" t="s">
        <v>203</v>
      </c>
    </row>
    <row r="5" spans="1:3" x14ac:dyDescent="0.25">
      <c r="A5" s="5" t="s">
        <v>6</v>
      </c>
      <c r="B5" s="5" t="s">
        <v>204</v>
      </c>
      <c r="C5" s="5" t="s">
        <v>205</v>
      </c>
    </row>
    <row r="6" spans="1:3" x14ac:dyDescent="0.25">
      <c r="A6" s="5" t="s">
        <v>16</v>
      </c>
      <c r="B6" s="5" t="s">
        <v>202</v>
      </c>
      <c r="C6" s="5" t="s">
        <v>203</v>
      </c>
    </row>
    <row r="7" spans="1:3" x14ac:dyDescent="0.25">
      <c r="A7" s="5" t="s">
        <v>178</v>
      </c>
      <c r="B7" s="5" t="s">
        <v>202</v>
      </c>
      <c r="C7" s="5" t="s">
        <v>203</v>
      </c>
    </row>
    <row r="8" spans="1:3" x14ac:dyDescent="0.25">
      <c r="A8" s="5" t="s">
        <v>175</v>
      </c>
      <c r="B8" s="5" t="s">
        <v>202</v>
      </c>
      <c r="C8" s="5" t="s">
        <v>203</v>
      </c>
    </row>
    <row r="9" spans="1:3" x14ac:dyDescent="0.25">
      <c r="A9" s="5" t="s">
        <v>143</v>
      </c>
      <c r="B9" s="5" t="s">
        <v>202</v>
      </c>
      <c r="C9" s="5" t="s">
        <v>203</v>
      </c>
    </row>
    <row r="10" spans="1:3" x14ac:dyDescent="0.25">
      <c r="A10" s="5" t="s">
        <v>67</v>
      </c>
      <c r="B10" s="5" t="s">
        <v>206</v>
      </c>
      <c r="C10" s="5" t="s">
        <v>203</v>
      </c>
    </row>
    <row r="11" spans="1:3" x14ac:dyDescent="0.25">
      <c r="A11" s="5" t="s">
        <v>191</v>
      </c>
      <c r="B11" s="5" t="s">
        <v>202</v>
      </c>
      <c r="C11" s="5" t="s">
        <v>203</v>
      </c>
    </row>
    <row r="12" spans="1:3" x14ac:dyDescent="0.25">
      <c r="A12" s="5" t="s">
        <v>124</v>
      </c>
      <c r="B12" s="5" t="s">
        <v>207</v>
      </c>
      <c r="C12" s="5" t="s">
        <v>208</v>
      </c>
    </row>
    <row r="13" spans="1:3" x14ac:dyDescent="0.25">
      <c r="A13" s="5" t="s">
        <v>154</v>
      </c>
      <c r="B13" s="5" t="s">
        <v>204</v>
      </c>
      <c r="C13" s="5" t="s">
        <v>205</v>
      </c>
    </row>
    <row r="14" spans="1:3" x14ac:dyDescent="0.25">
      <c r="A14" s="5" t="s">
        <v>209</v>
      </c>
      <c r="B14" s="5" t="s">
        <v>199</v>
      </c>
      <c r="C14" s="5" t="s">
        <v>199</v>
      </c>
    </row>
    <row r="15" spans="1:3" x14ac:dyDescent="0.25">
      <c r="A15" s="5" t="s">
        <v>47</v>
      </c>
      <c r="B15" s="5" t="s">
        <v>199</v>
      </c>
      <c r="C15" s="5" t="s">
        <v>199</v>
      </c>
    </row>
    <row r="16" spans="1:3" x14ac:dyDescent="0.25">
      <c r="A16" s="5" t="s">
        <v>148</v>
      </c>
      <c r="B16" s="5" t="s">
        <v>206</v>
      </c>
      <c r="C16" s="5" t="s">
        <v>203</v>
      </c>
    </row>
    <row r="17" spans="1:3" x14ac:dyDescent="0.25">
      <c r="A17" s="5" t="s">
        <v>35</v>
      </c>
      <c r="B17" s="5" t="s">
        <v>206</v>
      </c>
      <c r="C17" s="5" t="s">
        <v>203</v>
      </c>
    </row>
    <row r="18" spans="1:3" x14ac:dyDescent="0.25">
      <c r="A18" s="5" t="s">
        <v>64</v>
      </c>
      <c r="B18" s="5" t="s">
        <v>199</v>
      </c>
      <c r="C18" s="5" t="s">
        <v>199</v>
      </c>
    </row>
    <row r="19" spans="1:3" x14ac:dyDescent="0.25">
      <c r="A19" s="5" t="s">
        <v>75</v>
      </c>
      <c r="B19" s="5" t="s">
        <v>204</v>
      </c>
      <c r="C19" s="5" t="s">
        <v>205</v>
      </c>
    </row>
    <row r="20" spans="1:3" x14ac:dyDescent="0.25">
      <c r="A20" s="5" t="s">
        <v>23</v>
      </c>
      <c r="B20" s="5" t="s">
        <v>204</v>
      </c>
      <c r="C20" s="5" t="s">
        <v>205</v>
      </c>
    </row>
    <row r="21" spans="1:3" x14ac:dyDescent="0.25">
      <c r="A21" s="5" t="s">
        <v>210</v>
      </c>
      <c r="B21" s="5" t="s">
        <v>199</v>
      </c>
      <c r="C21" s="5" t="s">
        <v>199</v>
      </c>
    </row>
    <row r="22" spans="1:3" x14ac:dyDescent="0.25">
      <c r="A22" s="5" t="s">
        <v>211</v>
      </c>
      <c r="B22" s="5" t="s">
        <v>204</v>
      </c>
      <c r="C22" s="5" t="s">
        <v>205</v>
      </c>
    </row>
    <row r="23" spans="1:3" x14ac:dyDescent="0.25">
      <c r="A23" s="5" t="s">
        <v>19</v>
      </c>
      <c r="B23" s="5" t="s">
        <v>204</v>
      </c>
      <c r="C23" s="5" t="s">
        <v>205</v>
      </c>
    </row>
    <row r="24" spans="1:3" x14ac:dyDescent="0.25">
      <c r="A24" s="5" t="s">
        <v>89</v>
      </c>
      <c r="B24" s="5" t="s">
        <v>207</v>
      </c>
      <c r="C24" s="5" t="s">
        <v>208</v>
      </c>
    </row>
    <row r="25" spans="1:3" x14ac:dyDescent="0.25">
      <c r="A25" s="5" t="s">
        <v>212</v>
      </c>
      <c r="B25" s="5" t="s">
        <v>206</v>
      </c>
      <c r="C25" s="5" t="s">
        <v>203</v>
      </c>
    </row>
    <row r="26" spans="1:3" x14ac:dyDescent="0.25">
      <c r="A26" s="5" t="s">
        <v>58</v>
      </c>
      <c r="B26" s="5" t="s">
        <v>202</v>
      </c>
      <c r="C26" s="5" t="s">
        <v>203</v>
      </c>
    </row>
    <row r="27" spans="1:3" x14ac:dyDescent="0.25">
      <c r="A27" s="5" t="s">
        <v>50</v>
      </c>
      <c r="B27" s="5" t="s">
        <v>202</v>
      </c>
      <c r="C27" s="5" t="s">
        <v>203</v>
      </c>
    </row>
    <row r="28" spans="1:3" x14ac:dyDescent="0.25">
      <c r="A28" s="5" t="s">
        <v>29</v>
      </c>
      <c r="B28" s="5" t="s">
        <v>207</v>
      </c>
      <c r="C28" s="5" t="s">
        <v>208</v>
      </c>
    </row>
    <row r="29" spans="1:3" x14ac:dyDescent="0.25">
      <c r="A29" s="5" t="s">
        <v>38</v>
      </c>
      <c r="B29" s="5" t="s">
        <v>206</v>
      </c>
      <c r="C29" s="5" t="s">
        <v>203</v>
      </c>
    </row>
    <row r="30" spans="1:3" x14ac:dyDescent="0.25">
      <c r="A30" s="5" t="s">
        <v>99</v>
      </c>
      <c r="B30" s="5" t="s">
        <v>199</v>
      </c>
      <c r="C30" s="5" t="s">
        <v>199</v>
      </c>
    </row>
    <row r="31" spans="1:3" x14ac:dyDescent="0.25">
      <c r="A31" s="5" t="s">
        <v>82</v>
      </c>
      <c r="B31" s="5" t="s">
        <v>204</v>
      </c>
      <c r="C31" s="5" t="s">
        <v>205</v>
      </c>
    </row>
    <row r="32" spans="1:3" x14ac:dyDescent="0.25">
      <c r="A32" s="5" t="s">
        <v>213</v>
      </c>
      <c r="B32" s="5" t="s">
        <v>199</v>
      </c>
      <c r="C32" s="5" t="s">
        <v>199</v>
      </c>
    </row>
    <row r="33" spans="1:3" x14ac:dyDescent="0.25">
      <c r="A33" s="5" t="s">
        <v>120</v>
      </c>
      <c r="B33" s="5" t="s">
        <v>206</v>
      </c>
      <c r="C33" s="5" t="s">
        <v>203</v>
      </c>
    </row>
    <row r="34" spans="1:3" x14ac:dyDescent="0.25">
      <c r="A34" s="5" t="s">
        <v>114</v>
      </c>
      <c r="B34" s="5" t="s">
        <v>206</v>
      </c>
      <c r="C34" s="5" t="s">
        <v>203</v>
      </c>
    </row>
    <row r="35" spans="1:3" x14ac:dyDescent="0.25">
      <c r="A35" s="5" t="s">
        <v>102</v>
      </c>
      <c r="B35" s="5" t="s">
        <v>207</v>
      </c>
      <c r="C35" s="5" t="s">
        <v>208</v>
      </c>
    </row>
    <row r="36" spans="1:3" x14ac:dyDescent="0.25">
      <c r="A36" s="5" t="s">
        <v>140</v>
      </c>
      <c r="B36" s="5" t="s">
        <v>204</v>
      </c>
      <c r="C36" s="5" t="s">
        <v>205</v>
      </c>
    </row>
    <row r="37" spans="1:3" x14ac:dyDescent="0.25">
      <c r="A37" s="5" t="s">
        <v>53</v>
      </c>
      <c r="B37" s="5" t="s">
        <v>199</v>
      </c>
      <c r="C37" s="5" t="s">
        <v>199</v>
      </c>
    </row>
    <row r="38" spans="1:3" x14ac:dyDescent="0.25">
      <c r="A38" s="5" t="s">
        <v>131</v>
      </c>
      <c r="B38" s="5" t="s">
        <v>204</v>
      </c>
      <c r="C38" s="5" t="s">
        <v>205</v>
      </c>
    </row>
    <row r="39" spans="1:3" x14ac:dyDescent="0.25">
      <c r="A39" s="5" t="s">
        <v>214</v>
      </c>
      <c r="B39" s="5" t="s">
        <v>206</v>
      </c>
      <c r="C39" s="5" t="s">
        <v>203</v>
      </c>
    </row>
    <row r="40" spans="1:3" x14ac:dyDescent="0.25">
      <c r="A40" s="5" t="s">
        <v>117</v>
      </c>
      <c r="B40" s="5" t="s">
        <v>207</v>
      </c>
      <c r="C40" s="5" t="s">
        <v>208</v>
      </c>
    </row>
    <row r="41" spans="1:3" x14ac:dyDescent="0.25">
      <c r="A41" s="5" t="s">
        <v>44</v>
      </c>
      <c r="B41" s="5" t="s">
        <v>202</v>
      </c>
      <c r="C41" s="5" t="s">
        <v>203</v>
      </c>
    </row>
    <row r="42" spans="1:3" x14ac:dyDescent="0.25">
      <c r="A42" s="5" t="s">
        <v>61</v>
      </c>
      <c r="B42" s="5" t="s">
        <v>199</v>
      </c>
      <c r="C42" s="5" t="s">
        <v>199</v>
      </c>
    </row>
    <row r="43" spans="1:3" x14ac:dyDescent="0.25">
      <c r="A43" s="5" t="s">
        <v>26</v>
      </c>
      <c r="B43" s="5" t="s">
        <v>199</v>
      </c>
      <c r="C43" s="5" t="s">
        <v>199</v>
      </c>
    </row>
    <row r="44" spans="1:3" x14ac:dyDescent="0.25">
      <c r="A44" s="5" t="s">
        <v>106</v>
      </c>
      <c r="B44" s="5" t="s">
        <v>206</v>
      </c>
      <c r="C44" s="5" t="s">
        <v>203</v>
      </c>
    </row>
    <row r="45" spans="1:3" x14ac:dyDescent="0.25">
      <c r="A45" s="5" t="s">
        <v>215</v>
      </c>
      <c r="B45" s="5" t="s">
        <v>206</v>
      </c>
      <c r="C45" s="5" t="s">
        <v>203</v>
      </c>
    </row>
    <row r="46" spans="1:3" x14ac:dyDescent="0.25">
      <c r="A46" s="5" t="s">
        <v>216</v>
      </c>
      <c r="B46" s="5" t="s">
        <v>202</v>
      </c>
      <c r="C46" s="5" t="s">
        <v>203</v>
      </c>
    </row>
    <row r="47" spans="1:3" x14ac:dyDescent="0.25">
      <c r="A47" s="5" t="s">
        <v>32</v>
      </c>
      <c r="B47" s="5" t="s">
        <v>206</v>
      </c>
      <c r="C47" s="5" t="s">
        <v>203</v>
      </c>
    </row>
    <row r="48" spans="1:3" x14ac:dyDescent="0.25">
      <c r="A48" s="5" t="s">
        <v>159</v>
      </c>
      <c r="B48" s="5" t="s">
        <v>206</v>
      </c>
      <c r="C48" s="5" t="s">
        <v>203</v>
      </c>
    </row>
    <row r="49" spans="1:3" x14ac:dyDescent="0.25">
      <c r="A49" s="5" t="s">
        <v>13</v>
      </c>
      <c r="B49" s="5" t="s">
        <v>204</v>
      </c>
      <c r="C49" s="5" t="s">
        <v>205</v>
      </c>
    </row>
    <row r="50" spans="1:3" x14ac:dyDescent="0.25">
      <c r="A50" s="5" t="s">
        <v>188</v>
      </c>
      <c r="B50" s="5" t="s">
        <v>206</v>
      </c>
      <c r="C50" s="5" t="s">
        <v>203</v>
      </c>
    </row>
    <row r="51" spans="1:3" x14ac:dyDescent="0.25">
      <c r="A51" s="5" t="s">
        <v>109</v>
      </c>
      <c r="B51" s="5" t="s">
        <v>206</v>
      </c>
      <c r="C51" s="5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Used_Data</vt:lpstr>
      <vt:lpstr>Country_Continent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MIEN TRUNG CPT</dc:creator>
  <cp:lastModifiedBy>MIEN TRUNG CPT</cp:lastModifiedBy>
  <dcterms:created xsi:type="dcterms:W3CDTF">2026-01-14T05:53:19Z</dcterms:created>
  <dcterms:modified xsi:type="dcterms:W3CDTF">2026-01-14T09:49:28Z</dcterms:modified>
</cp:coreProperties>
</file>