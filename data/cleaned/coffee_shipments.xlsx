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EN TRUNG CPT\Downloads\Gis Data\Dự án  2 - Coffe Gis\"/>
    </mc:Choice>
  </mc:AlternateContent>
  <bookViews>
    <workbookView xWindow="0" yWindow="0" windowWidth="28800" windowHeight="12330"/>
  </bookViews>
  <sheets>
    <sheet name="Raw_coffee_shipments" sheetId="1" r:id="rId1"/>
    <sheet name="Pivot_Table (Exported Weight)" sheetId="9" r:id="rId2"/>
    <sheet name="Used_Coffer_shipments" sheetId="3" r:id="rId3"/>
    <sheet name="No. Shipment based on P.Method" sheetId="6" r:id="rId4"/>
    <sheet name="Farmers" sheetId="2" r:id="rId5"/>
  </sheet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F101" i="3"/>
  <c r="D101" i="3"/>
  <c r="F100" i="3"/>
  <c r="D100" i="3"/>
  <c r="F99" i="3"/>
  <c r="D99" i="3"/>
  <c r="F98" i="3"/>
  <c r="D98" i="3"/>
  <c r="F97" i="3"/>
  <c r="D97" i="3"/>
  <c r="F96" i="3"/>
  <c r="D96" i="3"/>
  <c r="F95" i="3"/>
  <c r="D95" i="3"/>
  <c r="F94" i="3"/>
  <c r="D94" i="3"/>
  <c r="F93" i="3"/>
  <c r="D93" i="3"/>
  <c r="F92" i="3"/>
  <c r="D92" i="3"/>
  <c r="F91" i="3"/>
  <c r="D91" i="3"/>
  <c r="F90" i="3"/>
  <c r="D90" i="3"/>
  <c r="F89" i="3"/>
  <c r="D89" i="3"/>
  <c r="F88" i="3"/>
  <c r="D88" i="3"/>
  <c r="F87" i="3"/>
  <c r="D87" i="3"/>
  <c r="F86" i="3"/>
  <c r="D86" i="3"/>
  <c r="F85" i="3"/>
  <c r="D85" i="3"/>
  <c r="F84" i="3"/>
  <c r="D84" i="3"/>
  <c r="F83" i="3"/>
  <c r="D83" i="3"/>
  <c r="F82" i="3"/>
  <c r="D82" i="3"/>
  <c r="F81" i="3"/>
  <c r="D81" i="3"/>
  <c r="F80" i="3"/>
  <c r="D80" i="3"/>
  <c r="F79" i="3"/>
  <c r="D79" i="3"/>
  <c r="F78" i="3"/>
  <c r="D78" i="3"/>
  <c r="F77" i="3"/>
  <c r="D77" i="3"/>
  <c r="F76" i="3"/>
  <c r="D76" i="3"/>
  <c r="F75" i="3"/>
  <c r="D75" i="3"/>
  <c r="F74" i="3"/>
  <c r="D74" i="3"/>
  <c r="F73" i="3"/>
  <c r="D73" i="3"/>
  <c r="F72" i="3"/>
  <c r="D72" i="3"/>
  <c r="F71" i="3"/>
  <c r="D71" i="3"/>
  <c r="F70" i="3"/>
  <c r="D70" i="3"/>
  <c r="F69" i="3"/>
  <c r="D69" i="3"/>
  <c r="F68" i="3"/>
  <c r="D68" i="3"/>
  <c r="F67" i="3"/>
  <c r="D67" i="3"/>
  <c r="F66" i="3"/>
  <c r="D66" i="3"/>
  <c r="F65" i="3"/>
  <c r="D65" i="3"/>
  <c r="F64" i="3"/>
  <c r="D64" i="3"/>
  <c r="F63" i="3"/>
  <c r="D63" i="3"/>
  <c r="F62" i="3"/>
  <c r="D62" i="3"/>
  <c r="F61" i="3"/>
  <c r="D61" i="3"/>
  <c r="F60" i="3"/>
  <c r="D60" i="3"/>
  <c r="F59" i="3"/>
  <c r="D59" i="3"/>
  <c r="F58" i="3"/>
  <c r="D58" i="3"/>
  <c r="F57" i="3"/>
  <c r="D57" i="3"/>
  <c r="F56" i="3"/>
  <c r="D56" i="3"/>
  <c r="F55" i="3"/>
  <c r="D55" i="3"/>
  <c r="F54" i="3"/>
  <c r="D54" i="3"/>
  <c r="F53" i="3"/>
  <c r="D53" i="3"/>
  <c r="F52" i="3"/>
  <c r="D52" i="3"/>
  <c r="F51" i="3"/>
  <c r="D51" i="3"/>
  <c r="F50" i="3"/>
  <c r="D50" i="3"/>
  <c r="F49" i="3"/>
  <c r="D49" i="3"/>
  <c r="F48" i="3"/>
  <c r="D48" i="3"/>
  <c r="F47" i="3"/>
  <c r="D47" i="3"/>
  <c r="F46" i="3"/>
  <c r="D46" i="3"/>
  <c r="F45" i="3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<sst xmlns="http://schemas.openxmlformats.org/spreadsheetml/2006/main" count="962" uniqueCount="277">
  <si>
    <t>Shipment_ID</t>
  </si>
  <si>
    <t>Farmer_ID</t>
  </si>
  <si>
    <t>Harvest_Year</t>
  </si>
  <si>
    <t>Weight_kg</t>
  </si>
  <si>
    <t>Processing_Method</t>
  </si>
  <si>
    <t>Export_Date</t>
  </si>
  <si>
    <t>SHP00001</t>
  </si>
  <si>
    <t>F0021</t>
  </si>
  <si>
    <t>1918.8</t>
  </si>
  <si>
    <t>Honey</t>
  </si>
  <si>
    <t>SHP00002</t>
  </si>
  <si>
    <t>F0017</t>
  </si>
  <si>
    <t>1495.2</t>
  </si>
  <si>
    <t>Washed / Wet</t>
  </si>
  <si>
    <t>SHP00003</t>
  </si>
  <si>
    <t>F0036</t>
  </si>
  <si>
    <t>1583.2</t>
  </si>
  <si>
    <t>Natural / Dry</t>
  </si>
  <si>
    <t>SHP00004</t>
  </si>
  <si>
    <t>F0006</t>
  </si>
  <si>
    <t>904.2</t>
  </si>
  <si>
    <t>SHP00005</t>
  </si>
  <si>
    <t>F0005</t>
  </si>
  <si>
    <t>273.9</t>
  </si>
  <si>
    <t>SHP00006</t>
  </si>
  <si>
    <t>F0031</t>
  </si>
  <si>
    <t>1124.0</t>
  </si>
  <si>
    <t>SHP00007</t>
  </si>
  <si>
    <t>F0015</t>
  </si>
  <si>
    <t>517.5</t>
  </si>
  <si>
    <t>SHP00008</t>
  </si>
  <si>
    <t>F0012</t>
  </si>
  <si>
    <t>1066.6</t>
  </si>
  <si>
    <t>SHP00009</t>
  </si>
  <si>
    <t>F0022</t>
  </si>
  <si>
    <t>130.5</t>
  </si>
  <si>
    <t>SHP00010</t>
  </si>
  <si>
    <t>F0034</t>
  </si>
  <si>
    <t>1445.5</t>
  </si>
  <si>
    <t>SHP00011</t>
  </si>
  <si>
    <t>F0007</t>
  </si>
  <si>
    <t>778.5</t>
  </si>
  <si>
    <t>SHP00012</t>
  </si>
  <si>
    <t>F0025</t>
  </si>
  <si>
    <t>247.3</t>
  </si>
  <si>
    <t>SHP00013</t>
  </si>
  <si>
    <t>F0011</t>
  </si>
  <si>
    <t>647.1</t>
  </si>
  <si>
    <t>SHP00014</t>
  </si>
  <si>
    <t>339.8</t>
  </si>
  <si>
    <t>SHP00015</t>
  </si>
  <si>
    <t>F0037</t>
  </si>
  <si>
    <t>875.4</t>
  </si>
  <si>
    <t>SHP00016</t>
  </si>
  <si>
    <t>F0048</t>
  </si>
  <si>
    <t>544.3</t>
  </si>
  <si>
    <t>SHP00017</t>
  </si>
  <si>
    <t>F0002</t>
  </si>
  <si>
    <t>783.4</t>
  </si>
  <si>
    <t>SHP00018</t>
  </si>
  <si>
    <t>F0042</t>
  </si>
  <si>
    <t>690.6</t>
  </si>
  <si>
    <t>SHP00019</t>
  </si>
  <si>
    <t>1969.5</t>
  </si>
  <si>
    <t>SHP00020</t>
  </si>
  <si>
    <t>F0039</t>
  </si>
  <si>
    <t>1532.6</t>
  </si>
  <si>
    <t>SHP00021</t>
  </si>
  <si>
    <t>F0050</t>
  </si>
  <si>
    <t>1863.1</t>
  </si>
  <si>
    <t>SHP00022</t>
  </si>
  <si>
    <t>F0043</t>
  </si>
  <si>
    <t>1131.4</t>
  </si>
  <si>
    <t>SHP00023</t>
  </si>
  <si>
    <t>1355.5</t>
  </si>
  <si>
    <t>SHP00024</t>
  </si>
  <si>
    <t>F0026</t>
  </si>
  <si>
    <t>427.7</t>
  </si>
  <si>
    <t>SHP00025</t>
  </si>
  <si>
    <t>791.7</t>
  </si>
  <si>
    <t>SHP00026</t>
  </si>
  <si>
    <t>1513.8</t>
  </si>
  <si>
    <t>SHP00027</t>
  </si>
  <si>
    <t>775.1</t>
  </si>
  <si>
    <t>SHP00028</t>
  </si>
  <si>
    <t>1758.6</t>
  </si>
  <si>
    <t>SHP00029</t>
  </si>
  <si>
    <t>313.6</t>
  </si>
  <si>
    <t>SHP00030</t>
  </si>
  <si>
    <t>F0027</t>
  </si>
  <si>
    <t>281.1</t>
  </si>
  <si>
    <t>SHP00031</t>
  </si>
  <si>
    <t>F0024</t>
  </si>
  <si>
    <t>75.9</t>
  </si>
  <si>
    <t>SHP00032</t>
  </si>
  <si>
    <t>1211.1</t>
  </si>
  <si>
    <t>SHP00033</t>
  </si>
  <si>
    <t>F0018</t>
  </si>
  <si>
    <t>1657.3</t>
  </si>
  <si>
    <t>SHP00034</t>
  </si>
  <si>
    <t>868.9</t>
  </si>
  <si>
    <t>SHP00035</t>
  </si>
  <si>
    <t>F0038</t>
  </si>
  <si>
    <t>1403.2</t>
  </si>
  <si>
    <t>SHP00036</t>
  </si>
  <si>
    <t>F0016</t>
  </si>
  <si>
    <t>1949.4</t>
  </si>
  <si>
    <t>SHP00037</t>
  </si>
  <si>
    <t>1752.1</t>
  </si>
  <si>
    <t>SHP00038</t>
  </si>
  <si>
    <t>1513.3</t>
  </si>
  <si>
    <t>SHP00039</t>
  </si>
  <si>
    <t>156.0</t>
  </si>
  <si>
    <t>SHP00040</t>
  </si>
  <si>
    <t>698.6</t>
  </si>
  <si>
    <t>SHP00041</t>
  </si>
  <si>
    <t>1388.2</t>
  </si>
  <si>
    <t>SHP00042</t>
  </si>
  <si>
    <t>F0035</t>
  </si>
  <si>
    <t>825.9</t>
  </si>
  <si>
    <t>SHP00043</t>
  </si>
  <si>
    <t>F0013</t>
  </si>
  <si>
    <t>1418.1</t>
  </si>
  <si>
    <t>SHP00044</t>
  </si>
  <si>
    <t>F0045</t>
  </si>
  <si>
    <t>229.8</t>
  </si>
  <si>
    <t>SHP00045</t>
  </si>
  <si>
    <t>914.8</t>
  </si>
  <si>
    <t>SHP00046</t>
  </si>
  <si>
    <t>1569.8</t>
  </si>
  <si>
    <t>SHP00047</t>
  </si>
  <si>
    <t>F0009</t>
  </si>
  <si>
    <t>1385.8</t>
  </si>
  <si>
    <t>SHP00048</t>
  </si>
  <si>
    <t>638.8</t>
  </si>
  <si>
    <t>SHP00049</t>
  </si>
  <si>
    <t>F0030</t>
  </si>
  <si>
    <t>857.4</t>
  </si>
  <si>
    <t>SHP00050</t>
  </si>
  <si>
    <t>F0044</t>
  </si>
  <si>
    <t>1434.9</t>
  </si>
  <si>
    <t>SHP00051</t>
  </si>
  <si>
    <t>F0004</t>
  </si>
  <si>
    <t>848.1</t>
  </si>
  <si>
    <t>SHP00052</t>
  </si>
  <si>
    <t>1221.5</t>
  </si>
  <si>
    <t>SHP00053</t>
  </si>
  <si>
    <t>1052.8</t>
  </si>
  <si>
    <t>SHP00054</t>
  </si>
  <si>
    <t>1948.5</t>
  </si>
  <si>
    <t>SHP00055</t>
  </si>
  <si>
    <t>F0033</t>
  </si>
  <si>
    <t>724.7</t>
  </si>
  <si>
    <t>SHP00056</t>
  </si>
  <si>
    <t>1369.1</t>
  </si>
  <si>
    <t>SHP00057</t>
  </si>
  <si>
    <t>831.1</t>
  </si>
  <si>
    <t>SHP00058</t>
  </si>
  <si>
    <t>328.5</t>
  </si>
  <si>
    <t>SHP00059</t>
  </si>
  <si>
    <t>108.4</t>
  </si>
  <si>
    <t>SHP00060</t>
  </si>
  <si>
    <t>1611.4</t>
  </si>
  <si>
    <t>SHP00061</t>
  </si>
  <si>
    <t>F0023</t>
  </si>
  <si>
    <t>877.3</t>
  </si>
  <si>
    <t>SHP00062</t>
  </si>
  <si>
    <t>1315.0</t>
  </si>
  <si>
    <t>SHP00063</t>
  </si>
  <si>
    <t>619.3</t>
  </si>
  <si>
    <t>SHP00064</t>
  </si>
  <si>
    <t>359.9</t>
  </si>
  <si>
    <t>SHP00065</t>
  </si>
  <si>
    <t>F0010</t>
  </si>
  <si>
    <t>659.8</t>
  </si>
  <si>
    <t>SHP00066</t>
  </si>
  <si>
    <t>1900.7</t>
  </si>
  <si>
    <t>SHP00067</t>
  </si>
  <si>
    <t>979.8</t>
  </si>
  <si>
    <t>SHP00068</t>
  </si>
  <si>
    <t>F0032</t>
  </si>
  <si>
    <t>534.7</t>
  </si>
  <si>
    <t>SHP00069</t>
  </si>
  <si>
    <t>502.6</t>
  </si>
  <si>
    <t>SHP00070</t>
  </si>
  <si>
    <t>F0047</t>
  </si>
  <si>
    <t>365.2</t>
  </si>
  <si>
    <t>SHP00071</t>
  </si>
  <si>
    <t>1562.9</t>
  </si>
  <si>
    <t>SHP00072</t>
  </si>
  <si>
    <t>585.4</t>
  </si>
  <si>
    <t>SHP00073</t>
  </si>
  <si>
    <t>F0029</t>
  </si>
  <si>
    <t>1988.3</t>
  </si>
  <si>
    <t>SHP00074</t>
  </si>
  <si>
    <t>F0001</t>
  </si>
  <si>
    <t>223.7</t>
  </si>
  <si>
    <t>SHP00075</t>
  </si>
  <si>
    <t>F0028</t>
  </si>
  <si>
    <t>460.5</t>
  </si>
  <si>
    <t>SHP00076</t>
  </si>
  <si>
    <t>1059.9</t>
  </si>
  <si>
    <t>SHP00077</t>
  </si>
  <si>
    <t>495.5</t>
  </si>
  <si>
    <t>SHP00078</t>
  </si>
  <si>
    <t>F0046</t>
  </si>
  <si>
    <t>1557.6</t>
  </si>
  <si>
    <t>SHP00079</t>
  </si>
  <si>
    <t>342.3</t>
  </si>
  <si>
    <t>SHP00080</t>
  </si>
  <si>
    <t>1102.3</t>
  </si>
  <si>
    <t>SHP00081</t>
  </si>
  <si>
    <t>F0003</t>
  </si>
  <si>
    <t>226.9</t>
  </si>
  <si>
    <t>SHP00082</t>
  </si>
  <si>
    <t>145.8</t>
  </si>
  <si>
    <t>SHP00083</t>
  </si>
  <si>
    <t>1322.4</t>
  </si>
  <si>
    <t>SHP00084</t>
  </si>
  <si>
    <t>1705.2</t>
  </si>
  <si>
    <t>SHP00085</t>
  </si>
  <si>
    <t>1209.4</t>
  </si>
  <si>
    <t>SHP00086</t>
  </si>
  <si>
    <t>360.5</t>
  </si>
  <si>
    <t>SHP00087</t>
  </si>
  <si>
    <t>1077.6</t>
  </si>
  <si>
    <t>SHP00088</t>
  </si>
  <si>
    <t>596.6</t>
  </si>
  <si>
    <t>SHP00089</t>
  </si>
  <si>
    <t>F0008</t>
  </si>
  <si>
    <t>1658.3</t>
  </si>
  <si>
    <t>SHP00090</t>
  </si>
  <si>
    <t>274.2</t>
  </si>
  <si>
    <t>SHP00091</t>
  </si>
  <si>
    <t>1532.5</t>
  </si>
  <si>
    <t>SHP00092</t>
  </si>
  <si>
    <t>988.1</t>
  </si>
  <si>
    <t>SHP00093</t>
  </si>
  <si>
    <t>1841.6</t>
  </si>
  <si>
    <t>SHP00094</t>
  </si>
  <si>
    <t>536.1</t>
  </si>
  <si>
    <t>SHP00095</t>
  </si>
  <si>
    <t>899.4</t>
  </si>
  <si>
    <t>SHP00096</t>
  </si>
  <si>
    <t>F0049</t>
  </si>
  <si>
    <t>1576.4</t>
  </si>
  <si>
    <t>SHP00097</t>
  </si>
  <si>
    <t>1263.2</t>
  </si>
  <si>
    <t>SHP00098</t>
  </si>
  <si>
    <t>336.4</t>
  </si>
  <si>
    <t>SHP00099</t>
  </si>
  <si>
    <t>1924.4</t>
  </si>
  <si>
    <t>SHP00100</t>
  </si>
  <si>
    <t>168.8</t>
  </si>
  <si>
    <t>Unknown</t>
  </si>
  <si>
    <t>Harvest_Year Status</t>
  </si>
  <si>
    <t>Country</t>
  </si>
  <si>
    <t>Continent</t>
  </si>
  <si>
    <t>Colombia</t>
  </si>
  <si>
    <t>South America</t>
  </si>
  <si>
    <t>Ethiopia</t>
  </si>
  <si>
    <t>Africa</t>
  </si>
  <si>
    <t>Brazil</t>
  </si>
  <si>
    <t>Vietnam</t>
  </si>
  <si>
    <t>Asia</t>
  </si>
  <si>
    <t>F0014</t>
  </si>
  <si>
    <t>F0019</t>
  </si>
  <si>
    <t>F0020</t>
  </si>
  <si>
    <t>F0040</t>
  </si>
  <si>
    <t>F0041</t>
  </si>
  <si>
    <t>FarmerID_Check</t>
  </si>
  <si>
    <t>Row Labels</t>
  </si>
  <si>
    <t>Grand Total</t>
  </si>
  <si>
    <t>Count of Shipment_ID</t>
  </si>
  <si>
    <t>Sum of Weight_kg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</si>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</sst>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18" fillId="0" borderId="10" xfId="0" applyFont="1" applyBorder="1" applyAlignment="1">
      <alignment horizontal="center" vertical="top"/>
    </xf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18" fillId="0" borderId="0" xfId="0" applyNumberFormat="1" applyFont="1"/>
    <xf numFmtId="1" fontId="0" fillId="0" borderId="0" xfId="0" applyNumberFormat="1"/>
    <xf numFmtId="4" fontId="18" fillId="0" borderId="0" xfId="0" applyNumberFormat="1" applyFon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4" formatCode="#,##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EN TRUNG CPT" refreshedDate="46036.660017245369" createdVersion="6" refreshedVersion="6" minRefreshableVersion="3" recordCount="100">
  <cacheSource type="worksheet">
    <worksheetSource ref="A1:I101" sheet="Used_Coffer_shipments"/>
  </cacheSource>
  <cacheFields count="9">
    <cacheField name="Shipment_ID" numFmtId="0">
      <sharedItems/>
    </cacheField>
    <cacheField name="Farmer_ID" numFmtId="0">
      <sharedItems/>
    </cacheField>
    <cacheField name="FarmerID_Check" numFmtId="0">
      <sharedItems/>
    </cacheField>
    <cacheField name="Country" numFmtId="0">
      <sharedItems count="5">
        <s v="Ethiopia"/>
        <s v="Unknown"/>
        <s v="Colombia"/>
        <s v="Brazil"/>
        <s v="Vietnam"/>
      </sharedItems>
    </cacheField>
    <cacheField name="Harvest_Year" numFmtId="1">
      <sharedItems containsMixedTypes="1" containsNumber="1" containsInteger="1" minValue="2019" maxValue="2023"/>
    </cacheField>
    <cacheField name="Harvest_Year Status" numFmtId="0">
      <sharedItems/>
    </cacheField>
    <cacheField name="Weight_kg" numFmtId="4">
      <sharedItems containsSemiMixedTypes="0" containsString="0" containsNumber="1" minValue="75.900000000000006" maxValue="1988.3"/>
    </cacheField>
    <cacheField name="Processing_Method" numFmtId="0">
      <sharedItems count="4">
        <s v="Honey"/>
        <s v="Washed / Wet"/>
        <s v="Natural / Dry"/>
        <s v="Unknown"/>
      </sharedItems>
    </cacheField>
    <cacheField name="Export_Date" numFmtId="164">
      <sharedItems containsDate="1" containsMixedTypes="1" minDate="2023-05-01T00:00:00" maxDate="2023-06-1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SHP00001"/>
    <s v="F0021"/>
    <s v="OK"/>
    <x v="0"/>
    <n v="2021"/>
    <s v="Provided"/>
    <n v="1918.8"/>
    <x v="0"/>
    <d v="2023-05-01T00:00:00"/>
  </r>
  <r>
    <s v="SHP00002"/>
    <s v="F0017"/>
    <s v="OK"/>
    <x v="1"/>
    <n v="2020"/>
    <s v="Provided"/>
    <n v="1495.2"/>
    <x v="1"/>
    <d v="2023-05-01T00:00:00"/>
  </r>
  <r>
    <s v="SHP00003"/>
    <s v="F0036"/>
    <s v="OK"/>
    <x v="1"/>
    <n v="2021"/>
    <s v="Provided"/>
    <n v="1583.2"/>
    <x v="2"/>
    <d v="2023-06-15T00:00:00"/>
  </r>
  <r>
    <s v="SHP00004"/>
    <s v="F0006"/>
    <s v="OK"/>
    <x v="2"/>
    <n v="2022"/>
    <s v="Provided"/>
    <n v="904.2"/>
    <x v="2"/>
    <s v="Unknown"/>
  </r>
  <r>
    <s v="SHP00005"/>
    <s v="F0005"/>
    <s v="OK"/>
    <x v="2"/>
    <n v="2020"/>
    <s v="Provided"/>
    <n v="273.89999999999998"/>
    <x v="0"/>
    <d v="2023-06-15T00:00:00"/>
  </r>
  <r>
    <s v="SHP00006"/>
    <s v="F0031"/>
    <s v="OK"/>
    <x v="1"/>
    <n v="2020"/>
    <s v="Provided"/>
    <n v="1124"/>
    <x v="3"/>
    <d v="2023-06-15T00:00:00"/>
  </r>
  <r>
    <s v="SHP00007"/>
    <s v="F0015"/>
    <s v="OK"/>
    <x v="3"/>
    <n v="2022"/>
    <s v="Provided"/>
    <n v="517.5"/>
    <x v="3"/>
    <d v="2023-05-01T00:00:00"/>
  </r>
  <r>
    <s v="SHP00008"/>
    <s v="F0012"/>
    <s v="OK"/>
    <x v="0"/>
    <n v="2022"/>
    <s v="Provided"/>
    <n v="1066.5999999999999"/>
    <x v="0"/>
    <d v="2023-05-01T00:00:00"/>
  </r>
  <r>
    <s v="SHP00009"/>
    <s v="F0022"/>
    <s v="OK"/>
    <x v="0"/>
    <n v="2020"/>
    <s v="Provided"/>
    <n v="130.5"/>
    <x v="2"/>
    <d v="2023-05-01T00:00:00"/>
  </r>
  <r>
    <s v="SHP00010"/>
    <s v="F0034"/>
    <s v="OK"/>
    <x v="4"/>
    <n v="2023"/>
    <s v="Provided"/>
    <n v="1445.5"/>
    <x v="3"/>
    <d v="2023-05-01T00:00:00"/>
  </r>
  <r>
    <s v="SHP00011"/>
    <s v="F0007"/>
    <s v="OK"/>
    <x v="2"/>
    <n v="2020"/>
    <s v="Provided"/>
    <n v="778.5"/>
    <x v="0"/>
    <d v="2023-05-01T00:00:00"/>
  </r>
  <r>
    <s v="SHP00012"/>
    <s v="F0025"/>
    <s v="OK"/>
    <x v="2"/>
    <n v="2022"/>
    <s v="Provided"/>
    <n v="247.3"/>
    <x v="3"/>
    <d v="2023-05-01T00:00:00"/>
  </r>
  <r>
    <s v="SHP00013"/>
    <s v="F0011"/>
    <s v="OK"/>
    <x v="4"/>
    <n v="2019"/>
    <s v="Provided"/>
    <n v="647.1"/>
    <x v="2"/>
    <s v="Unknown"/>
  </r>
  <r>
    <s v="SHP00014"/>
    <s v="F0021"/>
    <s v="OK"/>
    <x v="0"/>
    <n v="2021"/>
    <s v="Provided"/>
    <n v="339.8"/>
    <x v="2"/>
    <s v="Unknown"/>
  </r>
  <r>
    <s v="SHP00015"/>
    <s v="F0037"/>
    <s v="OK"/>
    <x v="0"/>
    <n v="2023"/>
    <s v="Provided"/>
    <n v="875.4"/>
    <x v="3"/>
    <d v="2023-05-01T00:00:00"/>
  </r>
  <r>
    <s v="SHP00016"/>
    <s v="F0048"/>
    <s v="OK"/>
    <x v="0"/>
    <n v="2023"/>
    <s v="Provided"/>
    <n v="544.29999999999995"/>
    <x v="1"/>
    <d v="2023-06-15T00:00:00"/>
  </r>
  <r>
    <s v="SHP00017"/>
    <s v="F0002"/>
    <s v="OK"/>
    <x v="2"/>
    <n v="2020"/>
    <s v="Provided"/>
    <n v="783.4"/>
    <x v="2"/>
    <d v="2023-05-01T00:00:00"/>
  </r>
  <r>
    <s v="SHP00018"/>
    <s v="F0042"/>
    <s v="OK"/>
    <x v="1"/>
    <n v="2021"/>
    <s v="Provided"/>
    <n v="690.6"/>
    <x v="2"/>
    <s v="Unknown"/>
  </r>
  <r>
    <s v="SHP00019"/>
    <s v="F0017"/>
    <s v="OK"/>
    <x v="1"/>
    <n v="2023"/>
    <s v="Provided"/>
    <n v="1969.5"/>
    <x v="3"/>
    <d v="2023-05-01T00:00:00"/>
  </r>
  <r>
    <s v="SHP00020"/>
    <s v="F0039"/>
    <s v="OK"/>
    <x v="4"/>
    <n v="2021"/>
    <s v="Provided"/>
    <n v="1532.6"/>
    <x v="0"/>
    <s v="Unknown"/>
  </r>
  <r>
    <s v="SHP00021"/>
    <s v="F0050"/>
    <s v="OK"/>
    <x v="3"/>
    <n v="2019"/>
    <s v="Provided"/>
    <n v="1863.1"/>
    <x v="3"/>
    <s v="Unknown"/>
  </r>
  <r>
    <s v="SHP00022"/>
    <s v="F0043"/>
    <s v="OK"/>
    <x v="3"/>
    <s v="Unknown"/>
    <s v="Provided"/>
    <n v="1131.4000000000001"/>
    <x v="2"/>
    <s v="Unknown"/>
  </r>
  <r>
    <s v="SHP00023"/>
    <s v="F0025"/>
    <s v="OK"/>
    <x v="2"/>
    <n v="2022"/>
    <s v="Provided"/>
    <n v="1355.5"/>
    <x v="3"/>
    <d v="2023-05-01T00:00:00"/>
  </r>
  <r>
    <s v="SHP00024"/>
    <s v="F0026"/>
    <s v="OK"/>
    <x v="2"/>
    <n v="2021"/>
    <s v="Provided"/>
    <n v="427.7"/>
    <x v="3"/>
    <d v="2023-05-01T00:00:00"/>
  </r>
  <r>
    <s v="SHP00025"/>
    <s v="F0022"/>
    <s v="OK"/>
    <x v="0"/>
    <n v="2021"/>
    <s v="Provided"/>
    <n v="791.7"/>
    <x v="0"/>
    <d v="2023-05-01T00:00:00"/>
  </r>
  <r>
    <s v="SHP00026"/>
    <s v="F0012"/>
    <s v="OK"/>
    <x v="0"/>
    <n v="2020"/>
    <s v="Provided"/>
    <n v="1513.8"/>
    <x v="0"/>
    <d v="2023-06-15T00:00:00"/>
  </r>
  <r>
    <s v="SHP00027"/>
    <s v="F0015"/>
    <s v="OK"/>
    <x v="3"/>
    <n v="2019"/>
    <s v="Provided"/>
    <n v="775.1"/>
    <x v="1"/>
    <d v="2023-05-01T00:00:00"/>
  </r>
  <r>
    <s v="SHP00028"/>
    <s v="F0037"/>
    <s v="OK"/>
    <x v="0"/>
    <s v="Unknown"/>
    <s v="Provided"/>
    <n v="1758.6"/>
    <x v="0"/>
    <d v="2023-05-01T00:00:00"/>
  </r>
  <r>
    <s v="SHP00029"/>
    <s v="F0031"/>
    <s v="OK"/>
    <x v="1"/>
    <n v="2019"/>
    <s v="Provided"/>
    <n v="313.60000000000002"/>
    <x v="3"/>
    <d v="2023-06-15T00:00:00"/>
  </r>
  <r>
    <s v="SHP00030"/>
    <s v="F0027"/>
    <s v="OK"/>
    <x v="4"/>
    <n v="2019"/>
    <s v="Provided"/>
    <n v="281.10000000000002"/>
    <x v="1"/>
    <d v="2023-06-15T00:00:00"/>
  </r>
  <r>
    <s v="SHP00031"/>
    <s v="F0024"/>
    <s v="OK"/>
    <x v="3"/>
    <s v="Unknown"/>
    <s v="Provided"/>
    <n v="75.900000000000006"/>
    <x v="3"/>
    <s v="Unknown"/>
  </r>
  <r>
    <s v="SHP00032"/>
    <s v="F0007"/>
    <s v="OK"/>
    <x v="2"/>
    <n v="2021"/>
    <s v="Provided"/>
    <n v="1211.0999999999999"/>
    <x v="1"/>
    <s v="Unknown"/>
  </r>
  <r>
    <s v="SHP00033"/>
    <s v="F0018"/>
    <s v="OK"/>
    <x v="0"/>
    <n v="2023"/>
    <s v="Provided"/>
    <n v="1657.3"/>
    <x v="1"/>
    <s v="Unknown"/>
  </r>
  <r>
    <s v="SHP00034"/>
    <s v="F0015"/>
    <s v="OK"/>
    <x v="3"/>
    <n v="2022"/>
    <s v="Provided"/>
    <n v="868.9"/>
    <x v="1"/>
    <s v="Unknown"/>
  </r>
  <r>
    <s v="SHP00035"/>
    <s v="F0038"/>
    <s v="OK"/>
    <x v="3"/>
    <n v="2022"/>
    <s v="Provided"/>
    <n v="1403.2"/>
    <x v="2"/>
    <d v="2023-06-15T00:00:00"/>
  </r>
  <r>
    <s v="SHP00036"/>
    <s v="F0016"/>
    <s v="OK"/>
    <x v="3"/>
    <n v="2019"/>
    <s v="Provided"/>
    <n v="1949.4"/>
    <x v="0"/>
    <d v="2023-05-01T00:00:00"/>
  </r>
  <r>
    <s v="SHP00037"/>
    <s v="F0016"/>
    <s v="OK"/>
    <x v="3"/>
    <n v="2022"/>
    <s v="Provided"/>
    <n v="1752.1"/>
    <x v="1"/>
    <d v="2023-05-01T00:00:00"/>
  </r>
  <r>
    <s v="SHP00038"/>
    <s v="F0043"/>
    <s v="OK"/>
    <x v="3"/>
    <n v="2021"/>
    <s v="Provided"/>
    <n v="1513.3"/>
    <x v="0"/>
    <s v="Unknown"/>
  </r>
  <r>
    <s v="SHP00039"/>
    <s v="F0048"/>
    <s v="OK"/>
    <x v="0"/>
    <n v="2019"/>
    <s v="Provided"/>
    <n v="156"/>
    <x v="0"/>
    <s v="Unknown"/>
  </r>
  <r>
    <s v="SHP00040"/>
    <s v="F0021"/>
    <s v="OK"/>
    <x v="0"/>
    <n v="2023"/>
    <s v="Provided"/>
    <n v="698.6"/>
    <x v="3"/>
    <d v="2023-06-15T00:00:00"/>
  </r>
  <r>
    <s v="SHP00041"/>
    <s v="F0005"/>
    <s v="OK"/>
    <x v="2"/>
    <n v="2022"/>
    <s v="Provided"/>
    <n v="1388.2"/>
    <x v="1"/>
    <d v="2023-06-15T00:00:00"/>
  </r>
  <r>
    <s v="SHP00042"/>
    <s v="F0035"/>
    <s v="OK"/>
    <x v="0"/>
    <n v="2020"/>
    <s v="Provided"/>
    <n v="825.9"/>
    <x v="1"/>
    <d v="2023-06-15T00:00:00"/>
  </r>
  <r>
    <s v="SHP00043"/>
    <s v="F0013"/>
    <s v="OK"/>
    <x v="1"/>
    <n v="2019"/>
    <s v="Provided"/>
    <n v="1418.1"/>
    <x v="0"/>
    <d v="2023-05-01T00:00:00"/>
  </r>
  <r>
    <s v="SHP00044"/>
    <s v="F0045"/>
    <s v="OK"/>
    <x v="2"/>
    <n v="2020"/>
    <s v="Provided"/>
    <n v="229.8"/>
    <x v="0"/>
    <d v="2023-06-15T00:00:00"/>
  </r>
  <r>
    <s v="SHP00045"/>
    <s v="F0016"/>
    <s v="OK"/>
    <x v="3"/>
    <n v="2022"/>
    <s v="Provided"/>
    <n v="914.8"/>
    <x v="2"/>
    <s v="Unknown"/>
  </r>
  <r>
    <s v="SHP00046"/>
    <s v="F0027"/>
    <s v="OK"/>
    <x v="4"/>
    <n v="2022"/>
    <s v="Provided"/>
    <n v="1569.8"/>
    <x v="2"/>
    <s v="Unknown"/>
  </r>
  <r>
    <s v="SHP00047"/>
    <s v="F0009"/>
    <s v="OK"/>
    <x v="3"/>
    <n v="2020"/>
    <s v="Provided"/>
    <n v="1385.8"/>
    <x v="0"/>
    <d v="2023-05-01T00:00:00"/>
  </r>
  <r>
    <s v="SHP00048"/>
    <s v="F0025"/>
    <s v="OK"/>
    <x v="2"/>
    <n v="2022"/>
    <s v="Provided"/>
    <n v="638.79999999999995"/>
    <x v="3"/>
    <s v="Unknown"/>
  </r>
  <r>
    <s v="SHP00049"/>
    <s v="F0030"/>
    <s v="OK"/>
    <x v="0"/>
    <n v="2021"/>
    <s v="Provided"/>
    <n v="857.4"/>
    <x v="3"/>
    <s v="Unknown"/>
  </r>
  <r>
    <s v="SHP00050"/>
    <s v="F0044"/>
    <s v="OK"/>
    <x v="3"/>
    <n v="2020"/>
    <s v="Provided"/>
    <n v="1434.9"/>
    <x v="1"/>
    <d v="2023-05-01T00:00:00"/>
  </r>
  <r>
    <s v="SHP00051"/>
    <s v="F0004"/>
    <s v="OK"/>
    <x v="0"/>
    <n v="2019"/>
    <s v="Provided"/>
    <n v="848.1"/>
    <x v="2"/>
    <d v="2023-06-15T00:00:00"/>
  </r>
  <r>
    <s v="SHP00052"/>
    <s v="F0022"/>
    <s v="OK"/>
    <x v="0"/>
    <s v="Unknown"/>
    <s v="Provided"/>
    <n v="1221.5"/>
    <x v="2"/>
    <d v="2023-05-01T00:00:00"/>
  </r>
  <r>
    <s v="SHP00053"/>
    <s v="F0009"/>
    <s v="OK"/>
    <x v="3"/>
    <n v="2019"/>
    <s v="Provided"/>
    <n v="1052.8"/>
    <x v="1"/>
    <d v="2023-06-15T00:00:00"/>
  </r>
  <r>
    <s v="SHP00054"/>
    <s v="F0015"/>
    <s v="OK"/>
    <x v="3"/>
    <n v="2023"/>
    <s v="Provided"/>
    <n v="1948.5"/>
    <x v="1"/>
    <d v="2023-06-15T00:00:00"/>
  </r>
  <r>
    <s v="SHP00055"/>
    <s v="F0033"/>
    <s v="OK"/>
    <x v="3"/>
    <n v="2019"/>
    <s v="Provided"/>
    <n v="724.7"/>
    <x v="3"/>
    <s v="Unknown"/>
  </r>
  <r>
    <s v="SHP00056"/>
    <s v="F0044"/>
    <s v="OK"/>
    <x v="3"/>
    <n v="2023"/>
    <s v="Provided"/>
    <n v="1369.1"/>
    <x v="2"/>
    <d v="2023-05-01T00:00:00"/>
  </r>
  <r>
    <s v="SHP00057"/>
    <s v="F0043"/>
    <s v="OK"/>
    <x v="3"/>
    <n v="2020"/>
    <s v="Provided"/>
    <n v="831.1"/>
    <x v="1"/>
    <d v="2023-06-15T00:00:00"/>
  </r>
  <r>
    <s v="SHP00058"/>
    <s v="F0005"/>
    <s v="OK"/>
    <x v="2"/>
    <n v="2020"/>
    <s v="Provided"/>
    <n v="328.5"/>
    <x v="3"/>
    <d v="2023-05-01T00:00:00"/>
  </r>
  <r>
    <s v="SHP00059"/>
    <s v="F0035"/>
    <s v="OK"/>
    <x v="0"/>
    <n v="2020"/>
    <s v="Provided"/>
    <n v="108.4"/>
    <x v="0"/>
    <d v="2023-05-01T00:00:00"/>
  </r>
  <r>
    <s v="SHP00060"/>
    <s v="F0012"/>
    <s v="OK"/>
    <x v="0"/>
    <s v="Unknown"/>
    <s v="Provided"/>
    <n v="1611.4"/>
    <x v="0"/>
    <s v="Unknown"/>
  </r>
  <r>
    <s v="SHP00061"/>
    <s v="F0023"/>
    <s v="OK"/>
    <x v="4"/>
    <n v="2022"/>
    <s v="Provided"/>
    <n v="877.3"/>
    <x v="2"/>
    <d v="2023-05-01T00:00:00"/>
  </r>
  <r>
    <s v="SHP00062"/>
    <s v="F0036"/>
    <s v="OK"/>
    <x v="1"/>
    <n v="2021"/>
    <s v="Provided"/>
    <n v="1315"/>
    <x v="0"/>
    <s v="Unknown"/>
  </r>
  <r>
    <s v="SHP00063"/>
    <s v="F0023"/>
    <s v="OK"/>
    <x v="4"/>
    <s v="Unknown"/>
    <s v="Provided"/>
    <n v="619.29999999999995"/>
    <x v="3"/>
    <d v="2023-06-15T00:00:00"/>
  </r>
  <r>
    <s v="SHP00064"/>
    <s v="F0035"/>
    <s v="OK"/>
    <x v="0"/>
    <n v="2019"/>
    <s v="Provided"/>
    <n v="359.9"/>
    <x v="0"/>
    <d v="2023-06-15T00:00:00"/>
  </r>
  <r>
    <s v="SHP00065"/>
    <s v="F0010"/>
    <s v="OK"/>
    <x v="2"/>
    <s v="Unknown"/>
    <s v="Provided"/>
    <n v="659.8"/>
    <x v="2"/>
    <d v="2023-05-01T00:00:00"/>
  </r>
  <r>
    <s v="SHP00066"/>
    <s v="F0007"/>
    <s v="OK"/>
    <x v="2"/>
    <n v="2020"/>
    <s v="Provided"/>
    <n v="1900.7"/>
    <x v="2"/>
    <d v="2023-05-01T00:00:00"/>
  </r>
  <r>
    <s v="SHP00067"/>
    <s v="F0009"/>
    <s v="OK"/>
    <x v="3"/>
    <n v="2019"/>
    <s v="Provided"/>
    <n v="979.8"/>
    <x v="0"/>
    <d v="2023-05-01T00:00:00"/>
  </r>
  <r>
    <s v="SHP00068"/>
    <s v="F0032"/>
    <s v="OK"/>
    <x v="3"/>
    <n v="2020"/>
    <s v="Provided"/>
    <n v="534.70000000000005"/>
    <x v="1"/>
    <s v="Unknown"/>
  </r>
  <r>
    <s v="SHP00069"/>
    <s v="F0037"/>
    <s v="OK"/>
    <x v="0"/>
    <s v="Unknown"/>
    <s v="Provided"/>
    <n v="502.6"/>
    <x v="2"/>
    <d v="2023-05-01T00:00:00"/>
  </r>
  <r>
    <s v="SHP00070"/>
    <s v="F0047"/>
    <s v="OK"/>
    <x v="3"/>
    <n v="2021"/>
    <s v="Provided"/>
    <n v="365.2"/>
    <x v="0"/>
    <d v="2023-06-15T00:00:00"/>
  </r>
  <r>
    <s v="SHP00071"/>
    <s v="F0043"/>
    <s v="OK"/>
    <x v="3"/>
    <n v="2020"/>
    <s v="Provided"/>
    <n v="1562.9"/>
    <x v="1"/>
    <s v="Unknown"/>
  </r>
  <r>
    <s v="SHP00072"/>
    <s v="F0035"/>
    <s v="OK"/>
    <x v="0"/>
    <n v="2020"/>
    <s v="Provided"/>
    <n v="585.4"/>
    <x v="3"/>
    <d v="2023-06-15T00:00:00"/>
  </r>
  <r>
    <s v="SHP00073"/>
    <s v="F0029"/>
    <s v="OK"/>
    <x v="1"/>
    <n v="2022"/>
    <s v="Provided"/>
    <n v="1988.3"/>
    <x v="3"/>
    <d v="2023-06-15T00:00:00"/>
  </r>
  <r>
    <s v="SHP00074"/>
    <s v="F0001"/>
    <s v="OK"/>
    <x v="2"/>
    <n v="2019"/>
    <s v="Provided"/>
    <n v="223.7"/>
    <x v="0"/>
    <s v="Unknown"/>
  </r>
  <r>
    <s v="SHP00075"/>
    <s v="F0028"/>
    <s v="OK"/>
    <x v="3"/>
    <n v="2020"/>
    <s v="Provided"/>
    <n v="460.5"/>
    <x v="0"/>
    <s v="Unknown"/>
  </r>
  <r>
    <s v="SHP00076"/>
    <s v="F0032"/>
    <s v="OK"/>
    <x v="3"/>
    <n v="2021"/>
    <s v="Provided"/>
    <n v="1059.9000000000001"/>
    <x v="3"/>
    <d v="2023-05-01T00:00:00"/>
  </r>
  <r>
    <s v="SHP00077"/>
    <s v="F0025"/>
    <s v="OK"/>
    <x v="2"/>
    <n v="2022"/>
    <s v="Provided"/>
    <n v="495.5"/>
    <x v="1"/>
    <d v="2023-06-15T00:00:00"/>
  </r>
  <r>
    <s v="SHP00078"/>
    <s v="F0046"/>
    <s v="OK"/>
    <x v="3"/>
    <s v="Unknown"/>
    <s v="Provided"/>
    <n v="1557.6"/>
    <x v="3"/>
    <d v="2023-05-01T00:00:00"/>
  </r>
  <r>
    <s v="SHP00079"/>
    <s v="F0025"/>
    <s v="OK"/>
    <x v="2"/>
    <n v="2019"/>
    <s v="Provided"/>
    <n v="342.3"/>
    <x v="2"/>
    <d v="2023-05-01T00:00:00"/>
  </r>
  <r>
    <s v="SHP00080"/>
    <s v="F0048"/>
    <s v="OK"/>
    <x v="0"/>
    <n v="2019"/>
    <s v="Provided"/>
    <n v="1102.3"/>
    <x v="2"/>
    <d v="2023-05-01T00:00:00"/>
  </r>
  <r>
    <s v="SHP00081"/>
    <s v="F0003"/>
    <s v="OK"/>
    <x v="2"/>
    <n v="2020"/>
    <s v="Provided"/>
    <n v="226.9"/>
    <x v="0"/>
    <d v="2023-06-15T00:00:00"/>
  </r>
  <r>
    <s v="SHP00082"/>
    <s v="F0044"/>
    <s v="OK"/>
    <x v="3"/>
    <n v="2022"/>
    <s v="Provided"/>
    <n v="145.80000000000001"/>
    <x v="3"/>
    <d v="2023-06-15T00:00:00"/>
  </r>
  <r>
    <s v="SHP00083"/>
    <s v="F0011"/>
    <s v="OK"/>
    <x v="4"/>
    <n v="2022"/>
    <s v="Provided"/>
    <n v="1322.4"/>
    <x v="3"/>
    <s v="Unknown"/>
  </r>
  <r>
    <s v="SHP00084"/>
    <s v="F0048"/>
    <s v="OK"/>
    <x v="0"/>
    <n v="2022"/>
    <s v="Provided"/>
    <n v="1705.2"/>
    <x v="1"/>
    <d v="2023-05-01T00:00:00"/>
  </r>
  <r>
    <s v="SHP00085"/>
    <s v="F0044"/>
    <s v="OK"/>
    <x v="3"/>
    <n v="2023"/>
    <s v="Provided"/>
    <n v="1209.4000000000001"/>
    <x v="2"/>
    <d v="2023-05-01T00:00:00"/>
  </r>
  <r>
    <s v="SHP00086"/>
    <s v="F0010"/>
    <s v="OK"/>
    <x v="2"/>
    <n v="2023"/>
    <s v="Provided"/>
    <n v="360.5"/>
    <x v="0"/>
    <d v="2023-05-01T00:00:00"/>
  </r>
  <r>
    <s v="SHP00087"/>
    <s v="F0026"/>
    <s v="OK"/>
    <x v="2"/>
    <n v="2023"/>
    <s v="Provided"/>
    <n v="1077.5999999999999"/>
    <x v="2"/>
    <s v="Unknown"/>
  </r>
  <r>
    <s v="SHP00088"/>
    <s v="F0028"/>
    <s v="OK"/>
    <x v="3"/>
    <n v="2022"/>
    <s v="Provided"/>
    <n v="596.6"/>
    <x v="0"/>
    <d v="2023-05-01T00:00:00"/>
  </r>
  <r>
    <s v="SHP00089"/>
    <s v="F0008"/>
    <s v="OK"/>
    <x v="2"/>
    <n v="2021"/>
    <s v="Provided"/>
    <n v="1658.3"/>
    <x v="0"/>
    <d v="2023-06-15T00:00:00"/>
  </r>
  <r>
    <s v="SHP00090"/>
    <s v="F0003"/>
    <s v="OK"/>
    <x v="2"/>
    <n v="2020"/>
    <s v="Provided"/>
    <n v="274.2"/>
    <x v="1"/>
    <d v="2023-05-01T00:00:00"/>
  </r>
  <r>
    <s v="SHP00091"/>
    <s v="F0027"/>
    <s v="OK"/>
    <x v="4"/>
    <n v="2021"/>
    <s v="Provided"/>
    <n v="1532.5"/>
    <x v="1"/>
    <s v="Unknown"/>
  </r>
  <r>
    <s v="SHP00092"/>
    <s v="F0022"/>
    <s v="OK"/>
    <x v="0"/>
    <n v="2022"/>
    <s v="Provided"/>
    <n v="988.1"/>
    <x v="1"/>
    <s v="Unknown"/>
  </r>
  <r>
    <s v="SHP00093"/>
    <s v="F0015"/>
    <s v="OK"/>
    <x v="3"/>
    <s v="Unknown"/>
    <s v="Provided"/>
    <n v="1841.6"/>
    <x v="2"/>
    <s v="Unknown"/>
  </r>
  <r>
    <s v="SHP00094"/>
    <s v="F0047"/>
    <s v="OK"/>
    <x v="3"/>
    <n v="2020"/>
    <s v="Provided"/>
    <n v="536.1"/>
    <x v="2"/>
    <s v="Unknown"/>
  </r>
  <r>
    <s v="SHP00095"/>
    <s v="F0037"/>
    <s v="OK"/>
    <x v="0"/>
    <n v="2021"/>
    <s v="Provided"/>
    <n v="899.4"/>
    <x v="0"/>
    <d v="2023-05-01T00:00:00"/>
  </r>
  <r>
    <s v="SHP00096"/>
    <s v="F0049"/>
    <s v="OK"/>
    <x v="3"/>
    <s v="Unknown"/>
    <s v="Provided"/>
    <n v="1576.4"/>
    <x v="3"/>
    <d v="2023-05-01T00:00:00"/>
  </r>
  <r>
    <s v="SHP00097"/>
    <s v="F0034"/>
    <s v="OK"/>
    <x v="4"/>
    <n v="2021"/>
    <s v="Provided"/>
    <n v="1263.2"/>
    <x v="1"/>
    <d v="2023-05-01T00:00:00"/>
  </r>
  <r>
    <s v="SHP00098"/>
    <s v="F0048"/>
    <s v="OK"/>
    <x v="0"/>
    <s v="Unknown"/>
    <s v="Provided"/>
    <n v="336.4"/>
    <x v="3"/>
    <s v="Unknown"/>
  </r>
  <r>
    <s v="SHP00099"/>
    <s v="F0005"/>
    <s v="OK"/>
    <x v="2"/>
    <n v="2021"/>
    <s v="Provided"/>
    <n v="1924.4"/>
    <x v="2"/>
    <d v="2023-05-01T00:00:00"/>
  </r>
  <r>
    <s v="SHP00100"/>
    <s v="F0037"/>
    <s v="OK"/>
    <x v="0"/>
    <n v="2022"/>
    <s v="Provided"/>
    <n v="168.8"/>
    <x v="0"/>
    <d v="2023-05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9"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eight_kg" fld="6" baseField="3" baseItem="0"/>
  </dataFields>
  <formats count="2">
    <format dxfId="1">
      <pivotArea collapsedLevelsAreSubtotals="1" fieldPosition="0">
        <references count="1">
          <reference field="3" count="0"/>
        </references>
      </pivotArea>
    </format>
    <format dxfId="0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hip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abSelected="1" workbookViewId="0">
      <selection activeCell="F16" sqref="F16"/>
    </sheetView>
  </sheetViews>
  <sheetFormatPr defaultRowHeight="15" x14ac:dyDescent="0.25"/>
  <cols>
    <col min="1" max="1" width="12.42578125" bestFit="1" customWidth="1"/>
    <col min="2" max="2" width="10.140625" bestFit="1" customWidth="1"/>
    <col min="3" max="3" width="15.5703125" bestFit="1" customWidth="1"/>
    <col min="4" max="4" width="15.5703125" customWidth="1"/>
    <col min="5" max="5" width="12.5703125" bestFit="1" customWidth="1"/>
    <col min="6" max="6" width="19.7109375" customWidth="1"/>
    <col min="7" max="7" width="10.42578125" bestFit="1" customWidth="1"/>
    <col min="8" max="8" width="18.7109375" bestFit="1" customWidth="1"/>
    <col min="9" max="9" width="12.5703125" style="1" bestFit="1" customWidth="1"/>
  </cols>
  <sheetData>
    <row r="1" spans="1:9" x14ac:dyDescent="0.25">
      <c r="A1" s="2" t="s">
        <v>0</v>
      </c>
      <c r="B1" s="2" t="s">
        <v>1</v>
      </c>
      <c r="C1" s="2" t="s">
        <v>270</v>
      </c>
      <c r="D1" s="2" t="s">
        <v>256</v>
      </c>
      <c r="E1" s="2" t="s">
        <v>2</v>
      </c>
      <c r="F1" s="2" t="s">
        <v>255</v>
      </c>
      <c r="G1" s="2" t="s">
        <v>3</v>
      </c>
      <c r="H1" s="2" t="s">
        <v>4</v>
      </c>
      <c r="I1" s="3" t="s">
        <v>5</v>
      </c>
    </row>
    <row r="2" spans="1:9" x14ac:dyDescent="0.25">
      <c r="A2" t="s">
        <v>6</v>
      </c>
      <c r="B2" t="s">
        <v>7</v>
      </c>
      <c r="C2" t="str">
        <f>IF(COUNTIF(Farmers!A:A,Raw_coffee_shipments!B2)=0,"Missing Data","OK")</f>
        <v>OK</v>
      </c>
      <c r="D2" t="str">
        <f>VLOOKUP(B2,Farmers!$A$1:$B$51,2,FALSE)</f>
        <v>Ethiopia</v>
      </c>
      <c r="E2">
        <v>2021</v>
      </c>
      <c r="F2" t="str">
        <f>IF(E2="","Unknown","Provided")</f>
        <v>Provided</v>
      </c>
      <c r="G2" t="s">
        <v>8</v>
      </c>
      <c r="H2" t="s">
        <v>9</v>
      </c>
      <c r="I2" s="1">
        <v>45047</v>
      </c>
    </row>
    <row r="3" spans="1:9" x14ac:dyDescent="0.25">
      <c r="A3" t="s">
        <v>10</v>
      </c>
      <c r="B3" t="s">
        <v>11</v>
      </c>
      <c r="C3" t="str">
        <f>IF(COUNTIF(Farmers!A:A,Raw_coffee_shipments!B3)=0,"Missing Data","OK")</f>
        <v>OK</v>
      </c>
      <c r="D3" t="str">
        <f>VLOOKUP(B3,Farmers!$A$1:$B$51,2,FALSE)</f>
        <v>Unknown</v>
      </c>
      <c r="E3">
        <v>2020</v>
      </c>
      <c r="F3" t="str">
        <f t="shared" ref="F3:F66" si="0">IF(E3="","Unknown","Provided")</f>
        <v>Provided</v>
      </c>
      <c r="G3" t="s">
        <v>12</v>
      </c>
      <c r="H3" t="s">
        <v>13</v>
      </c>
      <c r="I3" s="1">
        <v>45047</v>
      </c>
    </row>
    <row r="4" spans="1:9" x14ac:dyDescent="0.25">
      <c r="A4" t="s">
        <v>14</v>
      </c>
      <c r="B4" t="s">
        <v>15</v>
      </c>
      <c r="C4" t="str">
        <f>IF(COUNTIF(Farmers!A:A,Raw_coffee_shipments!B4)=0,"Missing Data","OK")</f>
        <v>OK</v>
      </c>
      <c r="D4" t="str">
        <f>VLOOKUP(B4,Farmers!$A$1:$B$51,2,FALSE)</f>
        <v>Unknown</v>
      </c>
      <c r="E4">
        <v>2021</v>
      </c>
      <c r="F4" t="str">
        <f t="shared" si="0"/>
        <v>Provided</v>
      </c>
      <c r="G4" t="s">
        <v>16</v>
      </c>
      <c r="H4" t="s">
        <v>17</v>
      </c>
      <c r="I4" s="1">
        <v>45092</v>
      </c>
    </row>
    <row r="5" spans="1:9" x14ac:dyDescent="0.25">
      <c r="A5" t="s">
        <v>18</v>
      </c>
      <c r="B5" t="s">
        <v>19</v>
      </c>
      <c r="C5" t="str">
        <f>IF(COUNTIF(Farmers!A:A,Raw_coffee_shipments!B5)=0,"Missing Data","OK")</f>
        <v>OK</v>
      </c>
      <c r="D5" t="str">
        <f>VLOOKUP(B5,Farmers!$A$1:$B$51,2,FALSE)</f>
        <v>Colombia</v>
      </c>
      <c r="E5">
        <v>2022</v>
      </c>
      <c r="F5" t="str">
        <f t="shared" si="0"/>
        <v>Provided</v>
      </c>
      <c r="G5" t="s">
        <v>20</v>
      </c>
      <c r="H5" t="s">
        <v>17</v>
      </c>
      <c r="I5" s="1" t="s">
        <v>254</v>
      </c>
    </row>
    <row r="6" spans="1:9" x14ac:dyDescent="0.25">
      <c r="A6" t="s">
        <v>21</v>
      </c>
      <c r="B6" t="s">
        <v>22</v>
      </c>
      <c r="C6" t="str">
        <f>IF(COUNTIF(Farmers!A:A,Raw_coffee_shipments!B6)=0,"Missing Data","OK")</f>
        <v>OK</v>
      </c>
      <c r="D6" t="str">
        <f>VLOOKUP(B6,Farmers!$A$1:$B$51,2,FALSE)</f>
        <v>Colombia</v>
      </c>
      <c r="E6">
        <v>2020</v>
      </c>
      <c r="F6" t="str">
        <f t="shared" si="0"/>
        <v>Provided</v>
      </c>
      <c r="G6" t="s">
        <v>23</v>
      </c>
      <c r="H6" t="s">
        <v>9</v>
      </c>
      <c r="I6" s="1">
        <v>45092</v>
      </c>
    </row>
    <row r="7" spans="1:9" x14ac:dyDescent="0.25">
      <c r="A7" t="s">
        <v>24</v>
      </c>
      <c r="B7" t="s">
        <v>25</v>
      </c>
      <c r="C7" t="str">
        <f>IF(COUNTIF(Farmers!A:A,Raw_coffee_shipments!B7)=0,"Missing Data","OK")</f>
        <v>OK</v>
      </c>
      <c r="D7" t="str">
        <f>VLOOKUP(B7,Farmers!$A$1:$B$51,2,FALSE)</f>
        <v>Unknown</v>
      </c>
      <c r="E7">
        <v>2020</v>
      </c>
      <c r="F7" t="str">
        <f t="shared" si="0"/>
        <v>Provided</v>
      </c>
      <c r="G7" t="s">
        <v>26</v>
      </c>
      <c r="H7" t="s">
        <v>254</v>
      </c>
      <c r="I7" s="1">
        <v>45092</v>
      </c>
    </row>
    <row r="8" spans="1:9" x14ac:dyDescent="0.25">
      <c r="A8" t="s">
        <v>27</v>
      </c>
      <c r="B8" t="s">
        <v>28</v>
      </c>
      <c r="C8" t="str">
        <f>IF(COUNTIF(Farmers!A:A,Raw_coffee_shipments!B8)=0,"Missing Data","OK")</f>
        <v>OK</v>
      </c>
      <c r="D8" t="str">
        <f>VLOOKUP(B8,Farmers!$A$1:$B$51,2,FALSE)</f>
        <v>Brazil</v>
      </c>
      <c r="E8">
        <v>2022</v>
      </c>
      <c r="F8" t="str">
        <f t="shared" si="0"/>
        <v>Provided</v>
      </c>
      <c r="G8" t="s">
        <v>29</v>
      </c>
      <c r="H8" t="s">
        <v>254</v>
      </c>
      <c r="I8" s="1">
        <v>45047</v>
      </c>
    </row>
    <row r="9" spans="1:9" x14ac:dyDescent="0.25">
      <c r="A9" t="s">
        <v>30</v>
      </c>
      <c r="B9" t="s">
        <v>31</v>
      </c>
      <c r="C9" t="str">
        <f>IF(COUNTIF(Farmers!A:A,Raw_coffee_shipments!B9)=0,"Missing Data","OK")</f>
        <v>OK</v>
      </c>
      <c r="D9" t="str">
        <f>VLOOKUP(B9,Farmers!$A$1:$B$51,2,FALSE)</f>
        <v>Ethiopia</v>
      </c>
      <c r="E9">
        <v>2022</v>
      </c>
      <c r="F9" t="str">
        <f t="shared" si="0"/>
        <v>Provided</v>
      </c>
      <c r="G9" t="s">
        <v>32</v>
      </c>
      <c r="H9" t="s">
        <v>9</v>
      </c>
      <c r="I9" s="1">
        <v>45047</v>
      </c>
    </row>
    <row r="10" spans="1:9" x14ac:dyDescent="0.25">
      <c r="A10" t="s">
        <v>33</v>
      </c>
      <c r="B10" t="s">
        <v>34</v>
      </c>
      <c r="C10" t="str">
        <f>IF(COUNTIF(Farmers!A:A,Raw_coffee_shipments!B10)=0,"Missing Data","OK")</f>
        <v>OK</v>
      </c>
      <c r="D10" t="str">
        <f>VLOOKUP(B10,Farmers!$A$1:$B$51,2,FALSE)</f>
        <v>Ethiopia</v>
      </c>
      <c r="E10">
        <v>2020</v>
      </c>
      <c r="F10" t="str">
        <f t="shared" si="0"/>
        <v>Provided</v>
      </c>
      <c r="G10" t="s">
        <v>35</v>
      </c>
      <c r="H10" t="s">
        <v>17</v>
      </c>
      <c r="I10" s="1">
        <v>45047</v>
      </c>
    </row>
    <row r="11" spans="1:9" x14ac:dyDescent="0.25">
      <c r="A11" t="s">
        <v>36</v>
      </c>
      <c r="B11" t="s">
        <v>37</v>
      </c>
      <c r="C11" t="str">
        <f>IF(COUNTIF(Farmers!A:A,Raw_coffee_shipments!B11)=0,"Missing Data","OK")</f>
        <v>OK</v>
      </c>
      <c r="D11" t="str">
        <f>VLOOKUP(B11,Farmers!$A$1:$B$51,2,FALSE)</f>
        <v>Vietnam</v>
      </c>
      <c r="E11">
        <v>2023</v>
      </c>
      <c r="F11" t="str">
        <f t="shared" si="0"/>
        <v>Provided</v>
      </c>
      <c r="G11" t="s">
        <v>38</v>
      </c>
      <c r="H11" t="s">
        <v>254</v>
      </c>
      <c r="I11" s="1">
        <v>45047</v>
      </c>
    </row>
    <row r="12" spans="1:9" x14ac:dyDescent="0.25">
      <c r="A12" t="s">
        <v>39</v>
      </c>
      <c r="B12" t="s">
        <v>40</v>
      </c>
      <c r="C12" t="str">
        <f>IF(COUNTIF(Farmers!A:A,Raw_coffee_shipments!B12)=0,"Missing Data","OK")</f>
        <v>OK</v>
      </c>
      <c r="D12" t="str">
        <f>VLOOKUP(B12,Farmers!$A$1:$B$51,2,FALSE)</f>
        <v>Colombia</v>
      </c>
      <c r="E12">
        <v>2020</v>
      </c>
      <c r="F12" t="str">
        <f t="shared" si="0"/>
        <v>Provided</v>
      </c>
      <c r="G12" t="s">
        <v>41</v>
      </c>
      <c r="H12" t="s">
        <v>9</v>
      </c>
      <c r="I12" s="1">
        <v>45047</v>
      </c>
    </row>
    <row r="13" spans="1:9" x14ac:dyDescent="0.25">
      <c r="A13" t="s">
        <v>42</v>
      </c>
      <c r="B13" t="s">
        <v>43</v>
      </c>
      <c r="C13" t="str">
        <f>IF(COUNTIF(Farmers!A:A,Raw_coffee_shipments!B13)=0,"Missing Data","OK")</f>
        <v>OK</v>
      </c>
      <c r="D13" t="str">
        <f>VLOOKUP(B13,Farmers!$A$1:$B$51,2,FALSE)</f>
        <v>Colombia</v>
      </c>
      <c r="E13">
        <v>2022</v>
      </c>
      <c r="F13" t="str">
        <f t="shared" si="0"/>
        <v>Provided</v>
      </c>
      <c r="G13" t="s">
        <v>44</v>
      </c>
      <c r="H13" t="s">
        <v>254</v>
      </c>
      <c r="I13" s="1">
        <v>45047</v>
      </c>
    </row>
    <row r="14" spans="1:9" x14ac:dyDescent="0.25">
      <c r="A14" t="s">
        <v>45</v>
      </c>
      <c r="B14" t="s">
        <v>46</v>
      </c>
      <c r="C14" t="str">
        <f>IF(COUNTIF(Farmers!A:A,Raw_coffee_shipments!B14)=0,"Missing Data","OK")</f>
        <v>OK</v>
      </c>
      <c r="D14" t="str">
        <f>VLOOKUP(B14,Farmers!$A$1:$B$51,2,FALSE)</f>
        <v>Vietnam</v>
      </c>
      <c r="E14">
        <v>2019</v>
      </c>
      <c r="F14" t="str">
        <f t="shared" si="0"/>
        <v>Provided</v>
      </c>
      <c r="G14" t="s">
        <v>47</v>
      </c>
      <c r="H14" t="s">
        <v>17</v>
      </c>
      <c r="I14" s="1" t="s">
        <v>254</v>
      </c>
    </row>
    <row r="15" spans="1:9" x14ac:dyDescent="0.25">
      <c r="A15" t="s">
        <v>48</v>
      </c>
      <c r="B15" t="s">
        <v>7</v>
      </c>
      <c r="C15" t="str">
        <f>IF(COUNTIF(Farmers!A:A,Raw_coffee_shipments!B15)=0,"Missing Data","OK")</f>
        <v>OK</v>
      </c>
      <c r="D15" t="str">
        <f>VLOOKUP(B15,Farmers!$A$1:$B$51,2,FALSE)</f>
        <v>Ethiopia</v>
      </c>
      <c r="E15">
        <v>2021</v>
      </c>
      <c r="F15" t="str">
        <f t="shared" si="0"/>
        <v>Provided</v>
      </c>
      <c r="G15" t="s">
        <v>49</v>
      </c>
      <c r="H15" t="s">
        <v>17</v>
      </c>
      <c r="I15" s="1" t="s">
        <v>254</v>
      </c>
    </row>
    <row r="16" spans="1:9" x14ac:dyDescent="0.25">
      <c r="A16" t="s">
        <v>50</v>
      </c>
      <c r="B16" t="s">
        <v>51</v>
      </c>
      <c r="C16" t="str">
        <f>IF(COUNTIF(Farmers!A:A,Raw_coffee_shipments!B16)=0,"Missing Data","OK")</f>
        <v>OK</v>
      </c>
      <c r="D16" t="str">
        <f>VLOOKUP(B16,Farmers!$A$1:$B$51,2,FALSE)</f>
        <v>Ethiopia</v>
      </c>
      <c r="E16">
        <v>2023</v>
      </c>
      <c r="F16" t="str">
        <f t="shared" si="0"/>
        <v>Provided</v>
      </c>
      <c r="G16" t="s">
        <v>52</v>
      </c>
      <c r="H16" t="s">
        <v>254</v>
      </c>
      <c r="I16" s="1">
        <v>45047</v>
      </c>
    </row>
    <row r="17" spans="1:9" x14ac:dyDescent="0.25">
      <c r="A17" t="s">
        <v>53</v>
      </c>
      <c r="B17" t="s">
        <v>54</v>
      </c>
      <c r="C17" t="str">
        <f>IF(COUNTIF(Farmers!A:A,Raw_coffee_shipments!B17)=0,"Missing Data","OK")</f>
        <v>OK</v>
      </c>
      <c r="D17" t="str">
        <f>VLOOKUP(B17,Farmers!$A$1:$B$51,2,FALSE)</f>
        <v>Ethiopia</v>
      </c>
      <c r="E17">
        <v>2023</v>
      </c>
      <c r="F17" t="str">
        <f t="shared" si="0"/>
        <v>Provided</v>
      </c>
      <c r="G17" t="s">
        <v>55</v>
      </c>
      <c r="H17" t="s">
        <v>13</v>
      </c>
      <c r="I17" s="1">
        <v>45092</v>
      </c>
    </row>
    <row r="18" spans="1:9" x14ac:dyDescent="0.25">
      <c r="A18" t="s">
        <v>56</v>
      </c>
      <c r="B18" t="s">
        <v>57</v>
      </c>
      <c r="C18" t="str">
        <f>IF(COUNTIF(Farmers!A:A,Raw_coffee_shipments!B18)=0,"Missing Data","OK")</f>
        <v>OK</v>
      </c>
      <c r="D18" t="str">
        <f>VLOOKUP(B18,Farmers!$A$1:$B$51,2,FALSE)</f>
        <v>Colombia</v>
      </c>
      <c r="E18">
        <v>2020</v>
      </c>
      <c r="F18" t="str">
        <f t="shared" si="0"/>
        <v>Provided</v>
      </c>
      <c r="G18" t="s">
        <v>58</v>
      </c>
      <c r="H18" t="s">
        <v>17</v>
      </c>
      <c r="I18" s="1">
        <v>45047</v>
      </c>
    </row>
    <row r="19" spans="1:9" x14ac:dyDescent="0.25">
      <c r="A19" t="s">
        <v>59</v>
      </c>
      <c r="B19" t="s">
        <v>60</v>
      </c>
      <c r="C19" t="str">
        <f>IF(COUNTIF(Farmers!A:A,Raw_coffee_shipments!B19)=0,"Missing Data","OK")</f>
        <v>OK</v>
      </c>
      <c r="D19" t="str">
        <f>VLOOKUP(B19,Farmers!$A$1:$B$51,2,FALSE)</f>
        <v>Unknown</v>
      </c>
      <c r="E19">
        <v>2021</v>
      </c>
      <c r="F19" t="str">
        <f t="shared" si="0"/>
        <v>Provided</v>
      </c>
      <c r="G19" t="s">
        <v>61</v>
      </c>
      <c r="H19" t="s">
        <v>17</v>
      </c>
      <c r="I19" s="1" t="s">
        <v>254</v>
      </c>
    </row>
    <row r="20" spans="1:9" x14ac:dyDescent="0.25">
      <c r="A20" t="s">
        <v>62</v>
      </c>
      <c r="B20" t="s">
        <v>11</v>
      </c>
      <c r="C20" t="str">
        <f>IF(COUNTIF(Farmers!A:A,Raw_coffee_shipments!B20)=0,"Missing Data","OK")</f>
        <v>OK</v>
      </c>
      <c r="D20" t="str">
        <f>VLOOKUP(B20,Farmers!$A$1:$B$51,2,FALSE)</f>
        <v>Unknown</v>
      </c>
      <c r="E20">
        <v>2023</v>
      </c>
      <c r="F20" t="str">
        <f t="shared" si="0"/>
        <v>Provided</v>
      </c>
      <c r="G20" t="s">
        <v>63</v>
      </c>
      <c r="H20" t="s">
        <v>254</v>
      </c>
      <c r="I20" s="1">
        <v>45047</v>
      </c>
    </row>
    <row r="21" spans="1:9" x14ac:dyDescent="0.25">
      <c r="A21" t="s">
        <v>64</v>
      </c>
      <c r="B21" t="s">
        <v>65</v>
      </c>
      <c r="C21" t="str">
        <f>IF(COUNTIF(Farmers!A:A,Raw_coffee_shipments!B21)=0,"Missing Data","OK")</f>
        <v>OK</v>
      </c>
      <c r="D21" t="str">
        <f>VLOOKUP(B21,Farmers!$A$1:$B$51,2,FALSE)</f>
        <v>Vietnam</v>
      </c>
      <c r="E21">
        <v>2021</v>
      </c>
      <c r="F21" t="str">
        <f t="shared" si="0"/>
        <v>Provided</v>
      </c>
      <c r="G21" t="s">
        <v>66</v>
      </c>
      <c r="H21" t="s">
        <v>9</v>
      </c>
      <c r="I21" s="1" t="s">
        <v>254</v>
      </c>
    </row>
    <row r="22" spans="1:9" x14ac:dyDescent="0.25">
      <c r="A22" t="s">
        <v>67</v>
      </c>
      <c r="B22" t="s">
        <v>68</v>
      </c>
      <c r="C22" t="str">
        <f>IF(COUNTIF(Farmers!A:A,Raw_coffee_shipments!B22)=0,"Missing Data","OK")</f>
        <v>OK</v>
      </c>
      <c r="D22" t="str">
        <f>VLOOKUP(B22,Farmers!$A$1:$B$51,2,FALSE)</f>
        <v>Brazil</v>
      </c>
      <c r="E22">
        <v>2019</v>
      </c>
      <c r="F22" t="str">
        <f t="shared" si="0"/>
        <v>Provided</v>
      </c>
      <c r="G22" t="s">
        <v>69</v>
      </c>
      <c r="H22" t="s">
        <v>254</v>
      </c>
      <c r="I22" s="1" t="s">
        <v>254</v>
      </c>
    </row>
    <row r="23" spans="1:9" x14ac:dyDescent="0.25">
      <c r="A23" t="s">
        <v>70</v>
      </c>
      <c r="B23" t="s">
        <v>71</v>
      </c>
      <c r="C23" t="str">
        <f>IF(COUNTIF(Farmers!A:A,Raw_coffee_shipments!B23)=0,"Missing Data","OK")</f>
        <v>OK</v>
      </c>
      <c r="D23" t="str">
        <f>VLOOKUP(B23,Farmers!$A$1:$B$51,2,FALSE)</f>
        <v>Brazil</v>
      </c>
      <c r="F23" t="str">
        <f t="shared" si="0"/>
        <v>Unknown</v>
      </c>
      <c r="G23" t="s">
        <v>72</v>
      </c>
      <c r="H23" t="s">
        <v>17</v>
      </c>
      <c r="I23" s="1" t="s">
        <v>254</v>
      </c>
    </row>
    <row r="24" spans="1:9" x14ac:dyDescent="0.25">
      <c r="A24" t="s">
        <v>73</v>
      </c>
      <c r="B24" t="s">
        <v>43</v>
      </c>
      <c r="C24" t="str">
        <f>IF(COUNTIF(Farmers!A:A,Raw_coffee_shipments!B24)=0,"Missing Data","OK")</f>
        <v>OK</v>
      </c>
      <c r="D24" t="str">
        <f>VLOOKUP(B24,Farmers!$A$1:$B$51,2,FALSE)</f>
        <v>Colombia</v>
      </c>
      <c r="E24">
        <v>2022</v>
      </c>
      <c r="F24" t="str">
        <f t="shared" si="0"/>
        <v>Provided</v>
      </c>
      <c r="G24" t="s">
        <v>74</v>
      </c>
      <c r="H24" t="s">
        <v>254</v>
      </c>
      <c r="I24" s="1">
        <v>45047</v>
      </c>
    </row>
    <row r="25" spans="1:9" x14ac:dyDescent="0.25">
      <c r="A25" t="s">
        <v>75</v>
      </c>
      <c r="B25" t="s">
        <v>76</v>
      </c>
      <c r="C25" t="str">
        <f>IF(COUNTIF(Farmers!A:A,Raw_coffee_shipments!B25)=0,"Missing Data","OK")</f>
        <v>OK</v>
      </c>
      <c r="D25" t="str">
        <f>VLOOKUP(B25,Farmers!$A$1:$B$51,2,FALSE)</f>
        <v>Colombia</v>
      </c>
      <c r="E25">
        <v>2021</v>
      </c>
      <c r="F25" t="str">
        <f t="shared" si="0"/>
        <v>Provided</v>
      </c>
      <c r="G25" t="s">
        <v>77</v>
      </c>
      <c r="H25" t="s">
        <v>254</v>
      </c>
      <c r="I25" s="1">
        <v>45047</v>
      </c>
    </row>
    <row r="26" spans="1:9" x14ac:dyDescent="0.25">
      <c r="A26" t="s">
        <v>78</v>
      </c>
      <c r="B26" t="s">
        <v>34</v>
      </c>
      <c r="C26" t="str">
        <f>IF(COUNTIF(Farmers!A:A,Raw_coffee_shipments!B26)=0,"Missing Data","OK")</f>
        <v>OK</v>
      </c>
      <c r="D26" t="str">
        <f>VLOOKUP(B26,Farmers!$A$1:$B$51,2,FALSE)</f>
        <v>Ethiopia</v>
      </c>
      <c r="E26">
        <v>2021</v>
      </c>
      <c r="F26" t="str">
        <f t="shared" si="0"/>
        <v>Provided</v>
      </c>
      <c r="G26" t="s">
        <v>79</v>
      </c>
      <c r="H26" t="s">
        <v>9</v>
      </c>
      <c r="I26" s="1">
        <v>45047</v>
      </c>
    </row>
    <row r="27" spans="1:9" x14ac:dyDescent="0.25">
      <c r="A27" t="s">
        <v>80</v>
      </c>
      <c r="B27" t="s">
        <v>31</v>
      </c>
      <c r="C27" t="str">
        <f>IF(COUNTIF(Farmers!A:A,Raw_coffee_shipments!B27)=0,"Missing Data","OK")</f>
        <v>OK</v>
      </c>
      <c r="D27" t="str">
        <f>VLOOKUP(B27,Farmers!$A$1:$B$51,2,FALSE)</f>
        <v>Ethiopia</v>
      </c>
      <c r="E27">
        <v>2020</v>
      </c>
      <c r="F27" t="str">
        <f t="shared" si="0"/>
        <v>Provided</v>
      </c>
      <c r="G27" t="s">
        <v>81</v>
      </c>
      <c r="H27" t="s">
        <v>9</v>
      </c>
      <c r="I27" s="1">
        <v>45092</v>
      </c>
    </row>
    <row r="28" spans="1:9" x14ac:dyDescent="0.25">
      <c r="A28" t="s">
        <v>82</v>
      </c>
      <c r="B28" t="s">
        <v>28</v>
      </c>
      <c r="C28" t="str">
        <f>IF(COUNTIF(Farmers!A:A,Raw_coffee_shipments!B28)=0,"Missing Data","OK")</f>
        <v>OK</v>
      </c>
      <c r="D28" t="str">
        <f>VLOOKUP(B28,Farmers!$A$1:$B$51,2,FALSE)</f>
        <v>Brazil</v>
      </c>
      <c r="E28">
        <v>2019</v>
      </c>
      <c r="F28" t="str">
        <f t="shared" si="0"/>
        <v>Provided</v>
      </c>
      <c r="G28" t="s">
        <v>83</v>
      </c>
      <c r="H28" t="s">
        <v>13</v>
      </c>
      <c r="I28" s="1">
        <v>45047</v>
      </c>
    </row>
    <row r="29" spans="1:9" x14ac:dyDescent="0.25">
      <c r="A29" t="s">
        <v>84</v>
      </c>
      <c r="B29" t="s">
        <v>51</v>
      </c>
      <c r="C29" t="str">
        <f>IF(COUNTIF(Farmers!A:A,Raw_coffee_shipments!B29)=0,"Missing Data","OK")</f>
        <v>OK</v>
      </c>
      <c r="D29" t="str">
        <f>VLOOKUP(B29,Farmers!$A$1:$B$51,2,FALSE)</f>
        <v>Ethiopia</v>
      </c>
      <c r="F29" t="str">
        <f t="shared" si="0"/>
        <v>Unknown</v>
      </c>
      <c r="G29" t="s">
        <v>85</v>
      </c>
      <c r="H29" t="s">
        <v>9</v>
      </c>
      <c r="I29" s="1">
        <v>45047</v>
      </c>
    </row>
    <row r="30" spans="1:9" x14ac:dyDescent="0.25">
      <c r="A30" t="s">
        <v>86</v>
      </c>
      <c r="B30" t="s">
        <v>25</v>
      </c>
      <c r="C30" t="str">
        <f>IF(COUNTIF(Farmers!A:A,Raw_coffee_shipments!B30)=0,"Missing Data","OK")</f>
        <v>OK</v>
      </c>
      <c r="D30" t="str">
        <f>VLOOKUP(B30,Farmers!$A$1:$B$51,2,FALSE)</f>
        <v>Unknown</v>
      </c>
      <c r="E30">
        <v>2019</v>
      </c>
      <c r="F30" t="str">
        <f t="shared" si="0"/>
        <v>Provided</v>
      </c>
      <c r="G30" t="s">
        <v>87</v>
      </c>
      <c r="H30" t="s">
        <v>254</v>
      </c>
      <c r="I30" s="1">
        <v>45092</v>
      </c>
    </row>
    <row r="31" spans="1:9" x14ac:dyDescent="0.25">
      <c r="A31" t="s">
        <v>88</v>
      </c>
      <c r="B31" t="s">
        <v>89</v>
      </c>
      <c r="C31" t="str">
        <f>IF(COUNTIF(Farmers!A:A,Raw_coffee_shipments!B31)=0,"Missing Data","OK")</f>
        <v>OK</v>
      </c>
      <c r="D31" t="str">
        <f>VLOOKUP(B31,Farmers!$A$1:$B$51,2,FALSE)</f>
        <v>Vietnam</v>
      </c>
      <c r="E31">
        <v>2019</v>
      </c>
      <c r="F31" t="str">
        <f t="shared" si="0"/>
        <v>Provided</v>
      </c>
      <c r="G31" t="s">
        <v>90</v>
      </c>
      <c r="H31" t="s">
        <v>13</v>
      </c>
      <c r="I31" s="1">
        <v>45092</v>
      </c>
    </row>
    <row r="32" spans="1:9" x14ac:dyDescent="0.25">
      <c r="A32" t="s">
        <v>91</v>
      </c>
      <c r="B32" t="s">
        <v>92</v>
      </c>
      <c r="C32" t="str">
        <f>IF(COUNTIF(Farmers!A:A,Raw_coffee_shipments!B32)=0,"Missing Data","OK")</f>
        <v>OK</v>
      </c>
      <c r="D32" t="str">
        <f>VLOOKUP(B32,Farmers!$A$1:$B$51,2,FALSE)</f>
        <v>Brazil</v>
      </c>
      <c r="F32" t="str">
        <f t="shared" si="0"/>
        <v>Unknown</v>
      </c>
      <c r="G32" t="s">
        <v>93</v>
      </c>
      <c r="H32" t="s">
        <v>254</v>
      </c>
      <c r="I32" s="1" t="s">
        <v>254</v>
      </c>
    </row>
    <row r="33" spans="1:9" x14ac:dyDescent="0.25">
      <c r="A33" t="s">
        <v>94</v>
      </c>
      <c r="B33" t="s">
        <v>40</v>
      </c>
      <c r="C33" t="str">
        <f>IF(COUNTIF(Farmers!A:A,Raw_coffee_shipments!B33)=0,"Missing Data","OK")</f>
        <v>OK</v>
      </c>
      <c r="D33" t="str">
        <f>VLOOKUP(B33,Farmers!$A$1:$B$51,2,FALSE)</f>
        <v>Colombia</v>
      </c>
      <c r="E33">
        <v>2021</v>
      </c>
      <c r="F33" t="str">
        <f t="shared" si="0"/>
        <v>Provided</v>
      </c>
      <c r="G33" t="s">
        <v>95</v>
      </c>
      <c r="H33" t="s">
        <v>13</v>
      </c>
      <c r="I33" s="1" t="s">
        <v>254</v>
      </c>
    </row>
    <row r="34" spans="1:9" x14ac:dyDescent="0.25">
      <c r="A34" t="s">
        <v>96</v>
      </c>
      <c r="B34" t="s">
        <v>97</v>
      </c>
      <c r="C34" t="str">
        <f>IF(COUNTIF(Farmers!A:A,Raw_coffee_shipments!B34)=0,"Missing Data","OK")</f>
        <v>OK</v>
      </c>
      <c r="D34" t="str">
        <f>VLOOKUP(B34,Farmers!$A$1:$B$51,2,FALSE)</f>
        <v>Ethiopia</v>
      </c>
      <c r="E34">
        <v>2023</v>
      </c>
      <c r="F34" t="str">
        <f t="shared" si="0"/>
        <v>Provided</v>
      </c>
      <c r="G34" t="s">
        <v>98</v>
      </c>
      <c r="H34" t="s">
        <v>13</v>
      </c>
      <c r="I34" s="1" t="s">
        <v>254</v>
      </c>
    </row>
    <row r="35" spans="1:9" x14ac:dyDescent="0.25">
      <c r="A35" t="s">
        <v>99</v>
      </c>
      <c r="B35" t="s">
        <v>28</v>
      </c>
      <c r="C35" t="str">
        <f>IF(COUNTIF(Farmers!A:A,Raw_coffee_shipments!B35)=0,"Missing Data","OK")</f>
        <v>OK</v>
      </c>
      <c r="D35" t="str">
        <f>VLOOKUP(B35,Farmers!$A$1:$B$51,2,FALSE)</f>
        <v>Brazil</v>
      </c>
      <c r="E35">
        <v>2022</v>
      </c>
      <c r="F35" t="str">
        <f t="shared" si="0"/>
        <v>Provided</v>
      </c>
      <c r="G35" t="s">
        <v>100</v>
      </c>
      <c r="H35" t="s">
        <v>13</v>
      </c>
      <c r="I35" s="1" t="s">
        <v>254</v>
      </c>
    </row>
    <row r="36" spans="1:9" x14ac:dyDescent="0.25">
      <c r="A36" t="s">
        <v>101</v>
      </c>
      <c r="B36" t="s">
        <v>102</v>
      </c>
      <c r="C36" t="str">
        <f>IF(COUNTIF(Farmers!A:A,Raw_coffee_shipments!B36)=0,"Missing Data","OK")</f>
        <v>OK</v>
      </c>
      <c r="D36" t="str">
        <f>VLOOKUP(B36,Farmers!$A$1:$B$51,2,FALSE)</f>
        <v>Brazil</v>
      </c>
      <c r="E36">
        <v>2022</v>
      </c>
      <c r="F36" t="str">
        <f t="shared" si="0"/>
        <v>Provided</v>
      </c>
      <c r="G36" t="s">
        <v>103</v>
      </c>
      <c r="H36" t="s">
        <v>17</v>
      </c>
      <c r="I36" s="1">
        <v>45092</v>
      </c>
    </row>
    <row r="37" spans="1:9" x14ac:dyDescent="0.25">
      <c r="A37" t="s">
        <v>104</v>
      </c>
      <c r="B37" t="s">
        <v>105</v>
      </c>
      <c r="C37" t="str">
        <f>IF(COUNTIF(Farmers!A:A,Raw_coffee_shipments!B37)=0,"Missing Data","OK")</f>
        <v>OK</v>
      </c>
      <c r="D37" t="str">
        <f>VLOOKUP(B37,Farmers!$A$1:$B$51,2,FALSE)</f>
        <v>Brazil</v>
      </c>
      <c r="E37">
        <v>2019</v>
      </c>
      <c r="F37" t="str">
        <f t="shared" si="0"/>
        <v>Provided</v>
      </c>
      <c r="G37" t="s">
        <v>106</v>
      </c>
      <c r="H37" t="s">
        <v>9</v>
      </c>
      <c r="I37" s="1">
        <v>45047</v>
      </c>
    </row>
    <row r="38" spans="1:9" x14ac:dyDescent="0.25">
      <c r="A38" t="s">
        <v>107</v>
      </c>
      <c r="B38" t="s">
        <v>105</v>
      </c>
      <c r="C38" t="str">
        <f>IF(COUNTIF(Farmers!A:A,Raw_coffee_shipments!B38)=0,"Missing Data","OK")</f>
        <v>OK</v>
      </c>
      <c r="D38" t="str">
        <f>VLOOKUP(B38,Farmers!$A$1:$B$51,2,FALSE)</f>
        <v>Brazil</v>
      </c>
      <c r="E38">
        <v>2022</v>
      </c>
      <c r="F38" t="str">
        <f t="shared" si="0"/>
        <v>Provided</v>
      </c>
      <c r="G38" t="s">
        <v>108</v>
      </c>
      <c r="H38" t="s">
        <v>13</v>
      </c>
      <c r="I38" s="1">
        <v>45047</v>
      </c>
    </row>
    <row r="39" spans="1:9" x14ac:dyDescent="0.25">
      <c r="A39" t="s">
        <v>109</v>
      </c>
      <c r="B39" t="s">
        <v>71</v>
      </c>
      <c r="C39" t="str">
        <f>IF(COUNTIF(Farmers!A:A,Raw_coffee_shipments!B39)=0,"Missing Data","OK")</f>
        <v>OK</v>
      </c>
      <c r="D39" t="str">
        <f>VLOOKUP(B39,Farmers!$A$1:$B$51,2,FALSE)</f>
        <v>Brazil</v>
      </c>
      <c r="E39">
        <v>2021</v>
      </c>
      <c r="F39" t="str">
        <f t="shared" si="0"/>
        <v>Provided</v>
      </c>
      <c r="G39" t="s">
        <v>110</v>
      </c>
      <c r="H39" t="s">
        <v>9</v>
      </c>
      <c r="I39" s="1" t="s">
        <v>254</v>
      </c>
    </row>
    <row r="40" spans="1:9" x14ac:dyDescent="0.25">
      <c r="A40" t="s">
        <v>111</v>
      </c>
      <c r="B40" t="s">
        <v>54</v>
      </c>
      <c r="C40" t="str">
        <f>IF(COUNTIF(Farmers!A:A,Raw_coffee_shipments!B40)=0,"Missing Data","OK")</f>
        <v>OK</v>
      </c>
      <c r="D40" t="str">
        <f>VLOOKUP(B40,Farmers!$A$1:$B$51,2,FALSE)</f>
        <v>Ethiopia</v>
      </c>
      <c r="E40">
        <v>2019</v>
      </c>
      <c r="F40" t="str">
        <f t="shared" si="0"/>
        <v>Provided</v>
      </c>
      <c r="G40" t="s">
        <v>112</v>
      </c>
      <c r="H40" t="s">
        <v>9</v>
      </c>
      <c r="I40" s="1" t="s">
        <v>254</v>
      </c>
    </row>
    <row r="41" spans="1:9" x14ac:dyDescent="0.25">
      <c r="A41" t="s">
        <v>113</v>
      </c>
      <c r="B41" t="s">
        <v>7</v>
      </c>
      <c r="C41" t="str">
        <f>IF(COUNTIF(Farmers!A:A,Raw_coffee_shipments!B41)=0,"Missing Data","OK")</f>
        <v>OK</v>
      </c>
      <c r="D41" t="str">
        <f>VLOOKUP(B41,Farmers!$A$1:$B$51,2,FALSE)</f>
        <v>Ethiopia</v>
      </c>
      <c r="E41">
        <v>2023</v>
      </c>
      <c r="F41" t="str">
        <f t="shared" si="0"/>
        <v>Provided</v>
      </c>
      <c r="G41" t="s">
        <v>114</v>
      </c>
      <c r="H41" t="s">
        <v>254</v>
      </c>
      <c r="I41" s="1">
        <v>45092</v>
      </c>
    </row>
    <row r="42" spans="1:9" x14ac:dyDescent="0.25">
      <c r="A42" t="s">
        <v>115</v>
      </c>
      <c r="B42" t="s">
        <v>22</v>
      </c>
      <c r="C42" t="str">
        <f>IF(COUNTIF(Farmers!A:A,Raw_coffee_shipments!B42)=0,"Missing Data","OK")</f>
        <v>OK</v>
      </c>
      <c r="D42" t="str">
        <f>VLOOKUP(B42,Farmers!$A$1:$B$51,2,FALSE)</f>
        <v>Colombia</v>
      </c>
      <c r="E42">
        <v>2022</v>
      </c>
      <c r="F42" t="str">
        <f t="shared" si="0"/>
        <v>Provided</v>
      </c>
      <c r="G42" t="s">
        <v>116</v>
      </c>
      <c r="H42" t="s">
        <v>13</v>
      </c>
      <c r="I42" s="1">
        <v>45092</v>
      </c>
    </row>
    <row r="43" spans="1:9" x14ac:dyDescent="0.25">
      <c r="A43" t="s">
        <v>117</v>
      </c>
      <c r="B43" t="s">
        <v>118</v>
      </c>
      <c r="C43" t="str">
        <f>IF(COUNTIF(Farmers!A:A,Raw_coffee_shipments!B43)=0,"Missing Data","OK")</f>
        <v>OK</v>
      </c>
      <c r="D43" t="str">
        <f>VLOOKUP(B43,Farmers!$A$1:$B$51,2,FALSE)</f>
        <v>Ethiopia</v>
      </c>
      <c r="E43">
        <v>2020</v>
      </c>
      <c r="F43" t="str">
        <f t="shared" si="0"/>
        <v>Provided</v>
      </c>
      <c r="G43" t="s">
        <v>119</v>
      </c>
      <c r="H43" t="s">
        <v>13</v>
      </c>
      <c r="I43" s="1">
        <v>45092</v>
      </c>
    </row>
    <row r="44" spans="1:9" x14ac:dyDescent="0.25">
      <c r="A44" t="s">
        <v>120</v>
      </c>
      <c r="B44" t="s">
        <v>121</v>
      </c>
      <c r="C44" t="str">
        <f>IF(COUNTIF(Farmers!A:A,Raw_coffee_shipments!B44)=0,"Missing Data","OK")</f>
        <v>OK</v>
      </c>
      <c r="D44" t="str">
        <f>VLOOKUP(B44,Farmers!$A$1:$B$51,2,FALSE)</f>
        <v>Unknown</v>
      </c>
      <c r="E44">
        <v>2019</v>
      </c>
      <c r="F44" t="str">
        <f t="shared" si="0"/>
        <v>Provided</v>
      </c>
      <c r="G44" t="s">
        <v>122</v>
      </c>
      <c r="H44" t="s">
        <v>9</v>
      </c>
      <c r="I44" s="1">
        <v>45047</v>
      </c>
    </row>
    <row r="45" spans="1:9" x14ac:dyDescent="0.25">
      <c r="A45" t="s">
        <v>123</v>
      </c>
      <c r="B45" t="s">
        <v>124</v>
      </c>
      <c r="C45" t="str">
        <f>IF(COUNTIF(Farmers!A:A,Raw_coffee_shipments!B45)=0,"Missing Data","OK")</f>
        <v>OK</v>
      </c>
      <c r="D45" t="str">
        <f>VLOOKUP(B45,Farmers!$A$1:$B$51,2,FALSE)</f>
        <v>Colombia</v>
      </c>
      <c r="E45">
        <v>2020</v>
      </c>
      <c r="F45" t="str">
        <f t="shared" si="0"/>
        <v>Provided</v>
      </c>
      <c r="G45" t="s">
        <v>125</v>
      </c>
      <c r="H45" t="s">
        <v>9</v>
      </c>
      <c r="I45" s="1">
        <v>45092</v>
      </c>
    </row>
    <row r="46" spans="1:9" x14ac:dyDescent="0.25">
      <c r="A46" t="s">
        <v>126</v>
      </c>
      <c r="B46" t="s">
        <v>105</v>
      </c>
      <c r="C46" t="str">
        <f>IF(COUNTIF(Farmers!A:A,Raw_coffee_shipments!B46)=0,"Missing Data","OK")</f>
        <v>OK</v>
      </c>
      <c r="D46" t="str">
        <f>VLOOKUP(B46,Farmers!$A$1:$B$51,2,FALSE)</f>
        <v>Brazil</v>
      </c>
      <c r="E46">
        <v>2022</v>
      </c>
      <c r="F46" t="str">
        <f t="shared" si="0"/>
        <v>Provided</v>
      </c>
      <c r="G46" t="s">
        <v>127</v>
      </c>
      <c r="H46" t="s">
        <v>17</v>
      </c>
      <c r="I46" s="1" t="s">
        <v>254</v>
      </c>
    </row>
    <row r="47" spans="1:9" x14ac:dyDescent="0.25">
      <c r="A47" t="s">
        <v>128</v>
      </c>
      <c r="B47" t="s">
        <v>89</v>
      </c>
      <c r="C47" t="str">
        <f>IF(COUNTIF(Farmers!A:A,Raw_coffee_shipments!B47)=0,"Missing Data","OK")</f>
        <v>OK</v>
      </c>
      <c r="D47" t="str">
        <f>VLOOKUP(B47,Farmers!$A$1:$B$51,2,FALSE)</f>
        <v>Vietnam</v>
      </c>
      <c r="E47">
        <v>2022</v>
      </c>
      <c r="F47" t="str">
        <f t="shared" si="0"/>
        <v>Provided</v>
      </c>
      <c r="G47" t="s">
        <v>129</v>
      </c>
      <c r="H47" t="s">
        <v>17</v>
      </c>
      <c r="I47" s="1" t="s">
        <v>254</v>
      </c>
    </row>
    <row r="48" spans="1:9" x14ac:dyDescent="0.25">
      <c r="A48" t="s">
        <v>130</v>
      </c>
      <c r="B48" t="s">
        <v>131</v>
      </c>
      <c r="C48" t="str">
        <f>IF(COUNTIF(Farmers!A:A,Raw_coffee_shipments!B48)=0,"Missing Data","OK")</f>
        <v>OK</v>
      </c>
      <c r="D48" t="str">
        <f>VLOOKUP(B48,Farmers!$A$1:$B$51,2,FALSE)</f>
        <v>Brazil</v>
      </c>
      <c r="E48">
        <v>2020</v>
      </c>
      <c r="F48" t="str">
        <f t="shared" si="0"/>
        <v>Provided</v>
      </c>
      <c r="G48" t="s">
        <v>132</v>
      </c>
      <c r="H48" t="s">
        <v>9</v>
      </c>
      <c r="I48" s="1">
        <v>45047</v>
      </c>
    </row>
    <row r="49" spans="1:9" x14ac:dyDescent="0.25">
      <c r="A49" t="s">
        <v>133</v>
      </c>
      <c r="B49" t="s">
        <v>43</v>
      </c>
      <c r="C49" t="str">
        <f>IF(COUNTIF(Farmers!A:A,Raw_coffee_shipments!B49)=0,"Missing Data","OK")</f>
        <v>OK</v>
      </c>
      <c r="D49" t="str">
        <f>VLOOKUP(B49,Farmers!$A$1:$B$51,2,FALSE)</f>
        <v>Colombia</v>
      </c>
      <c r="E49">
        <v>2022</v>
      </c>
      <c r="F49" t="str">
        <f t="shared" si="0"/>
        <v>Provided</v>
      </c>
      <c r="G49" t="s">
        <v>134</v>
      </c>
      <c r="H49" t="s">
        <v>254</v>
      </c>
      <c r="I49" s="1" t="s">
        <v>254</v>
      </c>
    </row>
    <row r="50" spans="1:9" x14ac:dyDescent="0.25">
      <c r="A50" t="s">
        <v>135</v>
      </c>
      <c r="B50" t="s">
        <v>136</v>
      </c>
      <c r="C50" t="str">
        <f>IF(COUNTIF(Farmers!A:A,Raw_coffee_shipments!B50)=0,"Missing Data","OK")</f>
        <v>OK</v>
      </c>
      <c r="D50" t="str">
        <f>VLOOKUP(B50,Farmers!$A$1:$B$51,2,FALSE)</f>
        <v>Ethiopia</v>
      </c>
      <c r="E50">
        <v>2021</v>
      </c>
      <c r="F50" t="str">
        <f t="shared" si="0"/>
        <v>Provided</v>
      </c>
      <c r="G50" t="s">
        <v>137</v>
      </c>
      <c r="H50" t="s">
        <v>254</v>
      </c>
      <c r="I50" s="1" t="s">
        <v>254</v>
      </c>
    </row>
    <row r="51" spans="1:9" x14ac:dyDescent="0.25">
      <c r="A51" t="s">
        <v>138</v>
      </c>
      <c r="B51" t="s">
        <v>139</v>
      </c>
      <c r="C51" t="str">
        <f>IF(COUNTIF(Farmers!A:A,Raw_coffee_shipments!B51)=0,"Missing Data","OK")</f>
        <v>OK</v>
      </c>
      <c r="D51" t="str">
        <f>VLOOKUP(B51,Farmers!$A$1:$B$51,2,FALSE)</f>
        <v>Brazil</v>
      </c>
      <c r="E51">
        <v>2020</v>
      </c>
      <c r="F51" t="str">
        <f t="shared" si="0"/>
        <v>Provided</v>
      </c>
      <c r="G51" t="s">
        <v>140</v>
      </c>
      <c r="H51" t="s">
        <v>13</v>
      </c>
      <c r="I51" s="1">
        <v>45047</v>
      </c>
    </row>
    <row r="52" spans="1:9" x14ac:dyDescent="0.25">
      <c r="A52" t="s">
        <v>141</v>
      </c>
      <c r="B52" t="s">
        <v>142</v>
      </c>
      <c r="C52" t="str">
        <f>IF(COUNTIF(Farmers!A:A,Raw_coffee_shipments!B52)=0,"Missing Data","OK")</f>
        <v>OK</v>
      </c>
      <c r="D52" t="str">
        <f>VLOOKUP(B52,Farmers!$A$1:$B$51,2,FALSE)</f>
        <v>Ethiopia</v>
      </c>
      <c r="E52">
        <v>2019</v>
      </c>
      <c r="F52" t="str">
        <f t="shared" si="0"/>
        <v>Provided</v>
      </c>
      <c r="G52" t="s">
        <v>143</v>
      </c>
      <c r="H52" t="s">
        <v>17</v>
      </c>
      <c r="I52" s="1">
        <v>45092</v>
      </c>
    </row>
    <row r="53" spans="1:9" x14ac:dyDescent="0.25">
      <c r="A53" t="s">
        <v>144</v>
      </c>
      <c r="B53" t="s">
        <v>34</v>
      </c>
      <c r="C53" t="str">
        <f>IF(COUNTIF(Farmers!A:A,Raw_coffee_shipments!B53)=0,"Missing Data","OK")</f>
        <v>OK</v>
      </c>
      <c r="D53" t="str">
        <f>VLOOKUP(B53,Farmers!$A$1:$B$51,2,FALSE)</f>
        <v>Ethiopia</v>
      </c>
      <c r="F53" t="str">
        <f t="shared" si="0"/>
        <v>Unknown</v>
      </c>
      <c r="G53" t="s">
        <v>145</v>
      </c>
      <c r="H53" t="s">
        <v>17</v>
      </c>
      <c r="I53" s="1">
        <v>45047</v>
      </c>
    </row>
    <row r="54" spans="1:9" x14ac:dyDescent="0.25">
      <c r="A54" t="s">
        <v>146</v>
      </c>
      <c r="B54" t="s">
        <v>131</v>
      </c>
      <c r="C54" t="str">
        <f>IF(COUNTIF(Farmers!A:A,Raw_coffee_shipments!B54)=0,"Missing Data","OK")</f>
        <v>OK</v>
      </c>
      <c r="D54" t="str">
        <f>VLOOKUP(B54,Farmers!$A$1:$B$51,2,FALSE)</f>
        <v>Brazil</v>
      </c>
      <c r="E54">
        <v>2019</v>
      </c>
      <c r="F54" t="str">
        <f t="shared" si="0"/>
        <v>Provided</v>
      </c>
      <c r="G54" t="s">
        <v>147</v>
      </c>
      <c r="H54" t="s">
        <v>13</v>
      </c>
      <c r="I54" s="1">
        <v>45092</v>
      </c>
    </row>
    <row r="55" spans="1:9" x14ac:dyDescent="0.25">
      <c r="A55" t="s">
        <v>148</v>
      </c>
      <c r="B55" t="s">
        <v>28</v>
      </c>
      <c r="C55" t="str">
        <f>IF(COUNTIF(Farmers!A:A,Raw_coffee_shipments!B55)=0,"Missing Data","OK")</f>
        <v>OK</v>
      </c>
      <c r="D55" t="str">
        <f>VLOOKUP(B55,Farmers!$A$1:$B$51,2,FALSE)</f>
        <v>Brazil</v>
      </c>
      <c r="E55">
        <v>2023</v>
      </c>
      <c r="F55" t="str">
        <f t="shared" si="0"/>
        <v>Provided</v>
      </c>
      <c r="G55" t="s">
        <v>149</v>
      </c>
      <c r="H55" t="s">
        <v>13</v>
      </c>
      <c r="I55" s="1">
        <v>45092</v>
      </c>
    </row>
    <row r="56" spans="1:9" x14ac:dyDescent="0.25">
      <c r="A56" t="s">
        <v>150</v>
      </c>
      <c r="B56" t="s">
        <v>151</v>
      </c>
      <c r="C56" t="str">
        <f>IF(COUNTIF(Farmers!A:A,Raw_coffee_shipments!B56)=0,"Missing Data","OK")</f>
        <v>OK</v>
      </c>
      <c r="D56" t="str">
        <f>VLOOKUP(B56,Farmers!$A$1:$B$51,2,FALSE)</f>
        <v>Brazil</v>
      </c>
      <c r="E56">
        <v>2019</v>
      </c>
      <c r="F56" t="str">
        <f t="shared" si="0"/>
        <v>Provided</v>
      </c>
      <c r="G56" t="s">
        <v>152</v>
      </c>
      <c r="H56" t="s">
        <v>254</v>
      </c>
      <c r="I56" s="1" t="s">
        <v>254</v>
      </c>
    </row>
    <row r="57" spans="1:9" x14ac:dyDescent="0.25">
      <c r="A57" t="s">
        <v>153</v>
      </c>
      <c r="B57" t="s">
        <v>139</v>
      </c>
      <c r="C57" t="str">
        <f>IF(COUNTIF(Farmers!A:A,Raw_coffee_shipments!B57)=0,"Missing Data","OK")</f>
        <v>OK</v>
      </c>
      <c r="D57" t="str">
        <f>VLOOKUP(B57,Farmers!$A$1:$B$51,2,FALSE)</f>
        <v>Brazil</v>
      </c>
      <c r="E57">
        <v>2023</v>
      </c>
      <c r="F57" t="str">
        <f t="shared" si="0"/>
        <v>Provided</v>
      </c>
      <c r="G57" t="s">
        <v>154</v>
      </c>
      <c r="H57" t="s">
        <v>17</v>
      </c>
      <c r="I57" s="1">
        <v>45047</v>
      </c>
    </row>
    <row r="58" spans="1:9" x14ac:dyDescent="0.25">
      <c r="A58" t="s">
        <v>155</v>
      </c>
      <c r="B58" t="s">
        <v>71</v>
      </c>
      <c r="C58" t="str">
        <f>IF(COUNTIF(Farmers!A:A,Raw_coffee_shipments!B58)=0,"Missing Data","OK")</f>
        <v>OK</v>
      </c>
      <c r="D58" t="str">
        <f>VLOOKUP(B58,Farmers!$A$1:$B$51,2,FALSE)</f>
        <v>Brazil</v>
      </c>
      <c r="E58">
        <v>2020</v>
      </c>
      <c r="F58" t="str">
        <f t="shared" si="0"/>
        <v>Provided</v>
      </c>
      <c r="G58" t="s">
        <v>156</v>
      </c>
      <c r="H58" t="s">
        <v>13</v>
      </c>
      <c r="I58" s="1">
        <v>45092</v>
      </c>
    </row>
    <row r="59" spans="1:9" x14ac:dyDescent="0.25">
      <c r="A59" t="s">
        <v>157</v>
      </c>
      <c r="B59" t="s">
        <v>22</v>
      </c>
      <c r="C59" t="str">
        <f>IF(COUNTIF(Farmers!A:A,Raw_coffee_shipments!B59)=0,"Missing Data","OK")</f>
        <v>OK</v>
      </c>
      <c r="D59" t="str">
        <f>VLOOKUP(B59,Farmers!$A$1:$B$51,2,FALSE)</f>
        <v>Colombia</v>
      </c>
      <c r="E59">
        <v>2020</v>
      </c>
      <c r="F59" t="str">
        <f t="shared" si="0"/>
        <v>Provided</v>
      </c>
      <c r="G59" t="s">
        <v>158</v>
      </c>
      <c r="H59" t="s">
        <v>254</v>
      </c>
      <c r="I59" s="1">
        <v>45047</v>
      </c>
    </row>
    <row r="60" spans="1:9" x14ac:dyDescent="0.25">
      <c r="A60" t="s">
        <v>159</v>
      </c>
      <c r="B60" t="s">
        <v>118</v>
      </c>
      <c r="C60" t="str">
        <f>IF(COUNTIF(Farmers!A:A,Raw_coffee_shipments!B60)=0,"Missing Data","OK")</f>
        <v>OK</v>
      </c>
      <c r="D60" t="str">
        <f>VLOOKUP(B60,Farmers!$A$1:$B$51,2,FALSE)</f>
        <v>Ethiopia</v>
      </c>
      <c r="E60">
        <v>2020</v>
      </c>
      <c r="F60" t="str">
        <f t="shared" si="0"/>
        <v>Provided</v>
      </c>
      <c r="G60" t="s">
        <v>160</v>
      </c>
      <c r="H60" t="s">
        <v>9</v>
      </c>
      <c r="I60" s="1">
        <v>45047</v>
      </c>
    </row>
    <row r="61" spans="1:9" x14ac:dyDescent="0.25">
      <c r="A61" t="s">
        <v>161</v>
      </c>
      <c r="B61" t="s">
        <v>31</v>
      </c>
      <c r="C61" t="str">
        <f>IF(COUNTIF(Farmers!A:A,Raw_coffee_shipments!B61)=0,"Missing Data","OK")</f>
        <v>OK</v>
      </c>
      <c r="D61" t="str">
        <f>VLOOKUP(B61,Farmers!$A$1:$B$51,2,FALSE)</f>
        <v>Ethiopia</v>
      </c>
      <c r="F61" t="str">
        <f t="shared" si="0"/>
        <v>Unknown</v>
      </c>
      <c r="G61" t="s">
        <v>162</v>
      </c>
      <c r="H61" t="s">
        <v>9</v>
      </c>
      <c r="I61" s="1" t="s">
        <v>254</v>
      </c>
    </row>
    <row r="62" spans="1:9" x14ac:dyDescent="0.25">
      <c r="A62" t="s">
        <v>163</v>
      </c>
      <c r="B62" t="s">
        <v>164</v>
      </c>
      <c r="C62" t="str">
        <f>IF(COUNTIF(Farmers!A:A,Raw_coffee_shipments!B62)=0,"Missing Data","OK")</f>
        <v>OK</v>
      </c>
      <c r="D62" t="str">
        <f>VLOOKUP(B62,Farmers!$A$1:$B$51,2,FALSE)</f>
        <v>Vietnam</v>
      </c>
      <c r="E62">
        <v>2022</v>
      </c>
      <c r="F62" t="str">
        <f t="shared" si="0"/>
        <v>Provided</v>
      </c>
      <c r="G62" t="s">
        <v>165</v>
      </c>
      <c r="H62" t="s">
        <v>17</v>
      </c>
      <c r="I62" s="1">
        <v>45047</v>
      </c>
    </row>
    <row r="63" spans="1:9" x14ac:dyDescent="0.25">
      <c r="A63" t="s">
        <v>166</v>
      </c>
      <c r="B63" t="s">
        <v>15</v>
      </c>
      <c r="C63" t="str">
        <f>IF(COUNTIF(Farmers!A:A,Raw_coffee_shipments!B63)=0,"Missing Data","OK")</f>
        <v>OK</v>
      </c>
      <c r="D63" t="str">
        <f>VLOOKUP(B63,Farmers!$A$1:$B$51,2,FALSE)</f>
        <v>Unknown</v>
      </c>
      <c r="E63">
        <v>2021</v>
      </c>
      <c r="F63" t="str">
        <f t="shared" si="0"/>
        <v>Provided</v>
      </c>
      <c r="G63" t="s">
        <v>167</v>
      </c>
      <c r="H63" t="s">
        <v>9</v>
      </c>
      <c r="I63" s="1" t="s">
        <v>254</v>
      </c>
    </row>
    <row r="64" spans="1:9" x14ac:dyDescent="0.25">
      <c r="A64" t="s">
        <v>168</v>
      </c>
      <c r="B64" t="s">
        <v>164</v>
      </c>
      <c r="C64" t="str">
        <f>IF(COUNTIF(Farmers!A:A,Raw_coffee_shipments!B64)=0,"Missing Data","OK")</f>
        <v>OK</v>
      </c>
      <c r="D64" t="str">
        <f>VLOOKUP(B64,Farmers!$A$1:$B$51,2,FALSE)</f>
        <v>Vietnam</v>
      </c>
      <c r="F64" t="str">
        <f t="shared" si="0"/>
        <v>Unknown</v>
      </c>
      <c r="G64" t="s">
        <v>169</v>
      </c>
      <c r="H64" t="s">
        <v>254</v>
      </c>
      <c r="I64" s="1">
        <v>45092</v>
      </c>
    </row>
    <row r="65" spans="1:9" x14ac:dyDescent="0.25">
      <c r="A65" t="s">
        <v>170</v>
      </c>
      <c r="B65" t="s">
        <v>118</v>
      </c>
      <c r="C65" t="str">
        <f>IF(COUNTIF(Farmers!A:A,Raw_coffee_shipments!B65)=0,"Missing Data","OK")</f>
        <v>OK</v>
      </c>
      <c r="D65" t="str">
        <f>VLOOKUP(B65,Farmers!$A$1:$B$51,2,FALSE)</f>
        <v>Ethiopia</v>
      </c>
      <c r="E65">
        <v>2019</v>
      </c>
      <c r="F65" t="str">
        <f t="shared" si="0"/>
        <v>Provided</v>
      </c>
      <c r="G65" t="s">
        <v>171</v>
      </c>
      <c r="H65" t="s">
        <v>9</v>
      </c>
      <c r="I65" s="1">
        <v>45092</v>
      </c>
    </row>
    <row r="66" spans="1:9" x14ac:dyDescent="0.25">
      <c r="A66" t="s">
        <v>172</v>
      </c>
      <c r="B66" t="s">
        <v>173</v>
      </c>
      <c r="C66" t="str">
        <f>IF(COUNTIF(Farmers!A:A,Raw_coffee_shipments!B66)=0,"Missing Data","OK")</f>
        <v>OK</v>
      </c>
      <c r="D66" t="str">
        <f>VLOOKUP(B66,Farmers!$A$1:$B$51,2,FALSE)</f>
        <v>Colombia</v>
      </c>
      <c r="F66" t="str">
        <f t="shared" si="0"/>
        <v>Unknown</v>
      </c>
      <c r="G66" t="s">
        <v>174</v>
      </c>
      <c r="H66" t="s">
        <v>17</v>
      </c>
      <c r="I66" s="1">
        <v>45047</v>
      </c>
    </row>
    <row r="67" spans="1:9" x14ac:dyDescent="0.25">
      <c r="A67" t="s">
        <v>175</v>
      </c>
      <c r="B67" t="s">
        <v>40</v>
      </c>
      <c r="C67" t="str">
        <f>IF(COUNTIF(Farmers!A:A,Raw_coffee_shipments!B67)=0,"Missing Data","OK")</f>
        <v>OK</v>
      </c>
      <c r="D67" t="str">
        <f>VLOOKUP(B67,Farmers!$A$1:$B$51,2,FALSE)</f>
        <v>Colombia</v>
      </c>
      <c r="E67">
        <v>2020</v>
      </c>
      <c r="F67" t="str">
        <f t="shared" ref="F67:F101" si="1">IF(E67="","Unknown","Provided")</f>
        <v>Provided</v>
      </c>
      <c r="G67" t="s">
        <v>176</v>
      </c>
      <c r="H67" t="s">
        <v>17</v>
      </c>
      <c r="I67" s="1">
        <v>45047</v>
      </c>
    </row>
    <row r="68" spans="1:9" x14ac:dyDescent="0.25">
      <c r="A68" t="s">
        <v>177</v>
      </c>
      <c r="B68" t="s">
        <v>131</v>
      </c>
      <c r="C68" t="str">
        <f>IF(COUNTIF(Farmers!A:A,Raw_coffee_shipments!B68)=0,"Missing Data","OK")</f>
        <v>OK</v>
      </c>
      <c r="D68" t="str">
        <f>VLOOKUP(B68,Farmers!$A$1:$B$51,2,FALSE)</f>
        <v>Brazil</v>
      </c>
      <c r="E68">
        <v>2019</v>
      </c>
      <c r="F68" t="str">
        <f t="shared" si="1"/>
        <v>Provided</v>
      </c>
      <c r="G68" t="s">
        <v>178</v>
      </c>
      <c r="H68" t="s">
        <v>9</v>
      </c>
      <c r="I68" s="1">
        <v>45047</v>
      </c>
    </row>
    <row r="69" spans="1:9" x14ac:dyDescent="0.25">
      <c r="A69" t="s">
        <v>179</v>
      </c>
      <c r="B69" t="s">
        <v>180</v>
      </c>
      <c r="C69" t="str">
        <f>IF(COUNTIF(Farmers!A:A,Raw_coffee_shipments!B69)=0,"Missing Data","OK")</f>
        <v>OK</v>
      </c>
      <c r="D69" t="str">
        <f>VLOOKUP(B69,Farmers!$A$1:$B$51,2,FALSE)</f>
        <v>Brazil</v>
      </c>
      <c r="E69">
        <v>2020</v>
      </c>
      <c r="F69" t="str">
        <f t="shared" si="1"/>
        <v>Provided</v>
      </c>
      <c r="G69" t="s">
        <v>181</v>
      </c>
      <c r="H69" t="s">
        <v>13</v>
      </c>
      <c r="I69" s="1" t="s">
        <v>254</v>
      </c>
    </row>
    <row r="70" spans="1:9" x14ac:dyDescent="0.25">
      <c r="A70" t="s">
        <v>182</v>
      </c>
      <c r="B70" t="s">
        <v>51</v>
      </c>
      <c r="C70" t="str">
        <f>IF(COUNTIF(Farmers!A:A,Raw_coffee_shipments!B70)=0,"Missing Data","OK")</f>
        <v>OK</v>
      </c>
      <c r="D70" t="str">
        <f>VLOOKUP(B70,Farmers!$A$1:$B$51,2,FALSE)</f>
        <v>Ethiopia</v>
      </c>
      <c r="F70" t="str">
        <f t="shared" si="1"/>
        <v>Unknown</v>
      </c>
      <c r="G70" t="s">
        <v>183</v>
      </c>
      <c r="H70" t="s">
        <v>17</v>
      </c>
      <c r="I70" s="1">
        <v>45047</v>
      </c>
    </row>
    <row r="71" spans="1:9" x14ac:dyDescent="0.25">
      <c r="A71" t="s">
        <v>184</v>
      </c>
      <c r="B71" t="s">
        <v>185</v>
      </c>
      <c r="C71" t="str">
        <f>IF(COUNTIF(Farmers!A:A,Raw_coffee_shipments!B71)=0,"Missing Data","OK")</f>
        <v>OK</v>
      </c>
      <c r="D71" t="str">
        <f>VLOOKUP(B71,Farmers!$A$1:$B$51,2,FALSE)</f>
        <v>Brazil</v>
      </c>
      <c r="E71">
        <v>2021</v>
      </c>
      <c r="F71" t="str">
        <f t="shared" si="1"/>
        <v>Provided</v>
      </c>
      <c r="G71" t="s">
        <v>186</v>
      </c>
      <c r="H71" t="s">
        <v>9</v>
      </c>
      <c r="I71" s="1">
        <v>45092</v>
      </c>
    </row>
    <row r="72" spans="1:9" x14ac:dyDescent="0.25">
      <c r="A72" t="s">
        <v>187</v>
      </c>
      <c r="B72" t="s">
        <v>71</v>
      </c>
      <c r="C72" t="str">
        <f>IF(COUNTIF(Farmers!A:A,Raw_coffee_shipments!B72)=0,"Missing Data","OK")</f>
        <v>OK</v>
      </c>
      <c r="D72" t="str">
        <f>VLOOKUP(B72,Farmers!$A$1:$B$51,2,FALSE)</f>
        <v>Brazil</v>
      </c>
      <c r="E72">
        <v>2020</v>
      </c>
      <c r="F72" t="str">
        <f t="shared" si="1"/>
        <v>Provided</v>
      </c>
      <c r="G72" t="s">
        <v>188</v>
      </c>
      <c r="H72" t="s">
        <v>13</v>
      </c>
      <c r="I72" s="1" t="s">
        <v>254</v>
      </c>
    </row>
    <row r="73" spans="1:9" x14ac:dyDescent="0.25">
      <c r="A73" t="s">
        <v>189</v>
      </c>
      <c r="B73" t="s">
        <v>118</v>
      </c>
      <c r="C73" t="str">
        <f>IF(COUNTIF(Farmers!A:A,Raw_coffee_shipments!B73)=0,"Missing Data","OK")</f>
        <v>OK</v>
      </c>
      <c r="D73" t="str">
        <f>VLOOKUP(B73,Farmers!$A$1:$B$51,2,FALSE)</f>
        <v>Ethiopia</v>
      </c>
      <c r="E73">
        <v>2020</v>
      </c>
      <c r="F73" t="str">
        <f t="shared" si="1"/>
        <v>Provided</v>
      </c>
      <c r="G73" t="s">
        <v>190</v>
      </c>
      <c r="H73" t="s">
        <v>254</v>
      </c>
      <c r="I73" s="1">
        <v>45092</v>
      </c>
    </row>
    <row r="74" spans="1:9" x14ac:dyDescent="0.25">
      <c r="A74" t="s">
        <v>191</v>
      </c>
      <c r="B74" t="s">
        <v>192</v>
      </c>
      <c r="C74" t="str">
        <f>IF(COUNTIF(Farmers!A:A,Raw_coffee_shipments!B74)=0,"Missing Data","OK")</f>
        <v>OK</v>
      </c>
      <c r="D74" t="str">
        <f>VLOOKUP(B74,Farmers!$A$1:$B$51,2,FALSE)</f>
        <v>Unknown</v>
      </c>
      <c r="E74">
        <v>2022</v>
      </c>
      <c r="F74" t="str">
        <f t="shared" si="1"/>
        <v>Provided</v>
      </c>
      <c r="G74" t="s">
        <v>193</v>
      </c>
      <c r="H74" t="s">
        <v>254</v>
      </c>
      <c r="I74" s="1">
        <v>45092</v>
      </c>
    </row>
    <row r="75" spans="1:9" x14ac:dyDescent="0.25">
      <c r="A75" t="s">
        <v>194</v>
      </c>
      <c r="B75" t="s">
        <v>195</v>
      </c>
      <c r="C75" t="str">
        <f>IF(COUNTIF(Farmers!A:A,Raw_coffee_shipments!B75)=0,"Missing Data","OK")</f>
        <v>OK</v>
      </c>
      <c r="D75" t="str">
        <f>VLOOKUP(B75,Farmers!$A$1:$B$51,2,FALSE)</f>
        <v>Colombia</v>
      </c>
      <c r="E75">
        <v>2019</v>
      </c>
      <c r="F75" t="str">
        <f t="shared" si="1"/>
        <v>Provided</v>
      </c>
      <c r="G75" t="s">
        <v>196</v>
      </c>
      <c r="H75" t="s">
        <v>9</v>
      </c>
      <c r="I75" s="1" t="s">
        <v>254</v>
      </c>
    </row>
    <row r="76" spans="1:9" x14ac:dyDescent="0.25">
      <c r="A76" t="s">
        <v>197</v>
      </c>
      <c r="B76" t="s">
        <v>198</v>
      </c>
      <c r="C76" t="str">
        <f>IF(COUNTIF(Farmers!A:A,Raw_coffee_shipments!B76)=0,"Missing Data","OK")</f>
        <v>OK</v>
      </c>
      <c r="D76" t="str">
        <f>VLOOKUP(B76,Farmers!$A$1:$B$51,2,FALSE)</f>
        <v>Brazil</v>
      </c>
      <c r="E76">
        <v>2020</v>
      </c>
      <c r="F76" t="str">
        <f t="shared" si="1"/>
        <v>Provided</v>
      </c>
      <c r="G76" t="s">
        <v>199</v>
      </c>
      <c r="H76" t="s">
        <v>9</v>
      </c>
      <c r="I76" s="1" t="s">
        <v>254</v>
      </c>
    </row>
    <row r="77" spans="1:9" x14ac:dyDescent="0.25">
      <c r="A77" t="s">
        <v>200</v>
      </c>
      <c r="B77" t="s">
        <v>180</v>
      </c>
      <c r="C77" t="str">
        <f>IF(COUNTIF(Farmers!A:A,Raw_coffee_shipments!B77)=0,"Missing Data","OK")</f>
        <v>OK</v>
      </c>
      <c r="D77" t="str">
        <f>VLOOKUP(B77,Farmers!$A$1:$B$51,2,FALSE)</f>
        <v>Brazil</v>
      </c>
      <c r="E77">
        <v>2021</v>
      </c>
      <c r="F77" t="str">
        <f t="shared" si="1"/>
        <v>Provided</v>
      </c>
      <c r="G77" t="s">
        <v>201</v>
      </c>
      <c r="H77" t="s">
        <v>254</v>
      </c>
      <c r="I77" s="1">
        <v>45047</v>
      </c>
    </row>
    <row r="78" spans="1:9" x14ac:dyDescent="0.25">
      <c r="A78" t="s">
        <v>202</v>
      </c>
      <c r="B78" t="s">
        <v>43</v>
      </c>
      <c r="C78" t="str">
        <f>IF(COUNTIF(Farmers!A:A,Raw_coffee_shipments!B78)=0,"Missing Data","OK")</f>
        <v>OK</v>
      </c>
      <c r="D78" t="str">
        <f>VLOOKUP(B78,Farmers!$A$1:$B$51,2,FALSE)</f>
        <v>Colombia</v>
      </c>
      <c r="E78">
        <v>2022</v>
      </c>
      <c r="F78" t="str">
        <f t="shared" si="1"/>
        <v>Provided</v>
      </c>
      <c r="G78" t="s">
        <v>203</v>
      </c>
      <c r="H78" t="s">
        <v>13</v>
      </c>
      <c r="I78" s="1">
        <v>45092</v>
      </c>
    </row>
    <row r="79" spans="1:9" x14ac:dyDescent="0.25">
      <c r="A79" t="s">
        <v>204</v>
      </c>
      <c r="B79" t="s">
        <v>205</v>
      </c>
      <c r="C79" t="str">
        <f>IF(COUNTIF(Farmers!A:A,Raw_coffee_shipments!B79)=0,"Missing Data","OK")</f>
        <v>OK</v>
      </c>
      <c r="D79" t="str">
        <f>VLOOKUP(B79,Farmers!$A$1:$B$51,2,FALSE)</f>
        <v>Brazil</v>
      </c>
      <c r="F79" t="str">
        <f t="shared" si="1"/>
        <v>Unknown</v>
      </c>
      <c r="G79" t="s">
        <v>206</v>
      </c>
      <c r="H79" t="s">
        <v>254</v>
      </c>
      <c r="I79" s="1">
        <v>45047</v>
      </c>
    </row>
    <row r="80" spans="1:9" x14ac:dyDescent="0.25">
      <c r="A80" t="s">
        <v>207</v>
      </c>
      <c r="B80" t="s">
        <v>43</v>
      </c>
      <c r="C80" t="str">
        <f>IF(COUNTIF(Farmers!A:A,Raw_coffee_shipments!B80)=0,"Missing Data","OK")</f>
        <v>OK</v>
      </c>
      <c r="D80" t="str">
        <f>VLOOKUP(B80,Farmers!$A$1:$B$51,2,FALSE)</f>
        <v>Colombia</v>
      </c>
      <c r="E80">
        <v>2019</v>
      </c>
      <c r="F80" t="str">
        <f t="shared" si="1"/>
        <v>Provided</v>
      </c>
      <c r="G80" t="s">
        <v>208</v>
      </c>
      <c r="H80" t="s">
        <v>17</v>
      </c>
      <c r="I80" s="1">
        <v>45047</v>
      </c>
    </row>
    <row r="81" spans="1:9" x14ac:dyDescent="0.25">
      <c r="A81" t="s">
        <v>209</v>
      </c>
      <c r="B81" t="s">
        <v>54</v>
      </c>
      <c r="C81" t="str">
        <f>IF(COUNTIF(Farmers!A:A,Raw_coffee_shipments!B81)=0,"Missing Data","OK")</f>
        <v>OK</v>
      </c>
      <c r="D81" t="str">
        <f>VLOOKUP(B81,Farmers!$A$1:$B$51,2,FALSE)</f>
        <v>Ethiopia</v>
      </c>
      <c r="E81">
        <v>2019</v>
      </c>
      <c r="F81" t="str">
        <f t="shared" si="1"/>
        <v>Provided</v>
      </c>
      <c r="G81" t="s">
        <v>210</v>
      </c>
      <c r="H81" t="s">
        <v>17</v>
      </c>
      <c r="I81" s="1">
        <v>45047</v>
      </c>
    </row>
    <row r="82" spans="1:9" x14ac:dyDescent="0.25">
      <c r="A82" t="s">
        <v>211</v>
      </c>
      <c r="B82" t="s">
        <v>212</v>
      </c>
      <c r="C82" t="str">
        <f>IF(COUNTIF(Farmers!A:A,Raw_coffee_shipments!B82)=0,"Missing Data","OK")</f>
        <v>OK</v>
      </c>
      <c r="D82" t="str">
        <f>VLOOKUP(B82,Farmers!$A$1:$B$51,2,FALSE)</f>
        <v>Colombia</v>
      </c>
      <c r="E82">
        <v>2020</v>
      </c>
      <c r="F82" t="str">
        <f t="shared" si="1"/>
        <v>Provided</v>
      </c>
      <c r="G82" t="s">
        <v>213</v>
      </c>
      <c r="H82" t="s">
        <v>9</v>
      </c>
      <c r="I82" s="1">
        <v>45092</v>
      </c>
    </row>
    <row r="83" spans="1:9" x14ac:dyDescent="0.25">
      <c r="A83" t="s">
        <v>214</v>
      </c>
      <c r="B83" t="s">
        <v>139</v>
      </c>
      <c r="C83" t="str">
        <f>IF(COUNTIF(Farmers!A:A,Raw_coffee_shipments!B83)=0,"Missing Data","OK")</f>
        <v>OK</v>
      </c>
      <c r="D83" t="str">
        <f>VLOOKUP(B83,Farmers!$A$1:$B$51,2,FALSE)</f>
        <v>Brazil</v>
      </c>
      <c r="E83">
        <v>2022</v>
      </c>
      <c r="F83" t="str">
        <f t="shared" si="1"/>
        <v>Provided</v>
      </c>
      <c r="G83" t="s">
        <v>215</v>
      </c>
      <c r="H83" t="s">
        <v>254</v>
      </c>
      <c r="I83" s="1">
        <v>45092</v>
      </c>
    </row>
    <row r="84" spans="1:9" x14ac:dyDescent="0.25">
      <c r="A84" t="s">
        <v>216</v>
      </c>
      <c r="B84" t="s">
        <v>46</v>
      </c>
      <c r="C84" t="str">
        <f>IF(COUNTIF(Farmers!A:A,Raw_coffee_shipments!B84)=0,"Missing Data","OK")</f>
        <v>OK</v>
      </c>
      <c r="D84" t="str">
        <f>VLOOKUP(B84,Farmers!$A$1:$B$51,2,FALSE)</f>
        <v>Vietnam</v>
      </c>
      <c r="E84">
        <v>2022</v>
      </c>
      <c r="F84" t="str">
        <f t="shared" si="1"/>
        <v>Provided</v>
      </c>
      <c r="G84" t="s">
        <v>217</v>
      </c>
      <c r="H84" t="s">
        <v>254</v>
      </c>
      <c r="I84" s="1" t="s">
        <v>254</v>
      </c>
    </row>
    <row r="85" spans="1:9" x14ac:dyDescent="0.25">
      <c r="A85" t="s">
        <v>218</v>
      </c>
      <c r="B85" t="s">
        <v>54</v>
      </c>
      <c r="C85" t="str">
        <f>IF(COUNTIF(Farmers!A:A,Raw_coffee_shipments!B85)=0,"Missing Data","OK")</f>
        <v>OK</v>
      </c>
      <c r="D85" t="str">
        <f>VLOOKUP(B85,Farmers!$A$1:$B$51,2,FALSE)</f>
        <v>Ethiopia</v>
      </c>
      <c r="E85">
        <v>2022</v>
      </c>
      <c r="F85" t="str">
        <f t="shared" si="1"/>
        <v>Provided</v>
      </c>
      <c r="G85" t="s">
        <v>219</v>
      </c>
      <c r="H85" t="s">
        <v>13</v>
      </c>
      <c r="I85" s="1">
        <v>45047</v>
      </c>
    </row>
    <row r="86" spans="1:9" x14ac:dyDescent="0.25">
      <c r="A86" t="s">
        <v>220</v>
      </c>
      <c r="B86" t="s">
        <v>139</v>
      </c>
      <c r="C86" t="str">
        <f>IF(COUNTIF(Farmers!A:A,Raw_coffee_shipments!B86)=0,"Missing Data","OK")</f>
        <v>OK</v>
      </c>
      <c r="D86" t="str">
        <f>VLOOKUP(B86,Farmers!$A$1:$B$51,2,FALSE)</f>
        <v>Brazil</v>
      </c>
      <c r="E86">
        <v>2023</v>
      </c>
      <c r="F86" t="str">
        <f t="shared" si="1"/>
        <v>Provided</v>
      </c>
      <c r="G86" t="s">
        <v>221</v>
      </c>
      <c r="H86" t="s">
        <v>17</v>
      </c>
      <c r="I86" s="1">
        <v>45047</v>
      </c>
    </row>
    <row r="87" spans="1:9" x14ac:dyDescent="0.25">
      <c r="A87" t="s">
        <v>222</v>
      </c>
      <c r="B87" t="s">
        <v>173</v>
      </c>
      <c r="C87" t="str">
        <f>IF(COUNTIF(Farmers!A:A,Raw_coffee_shipments!B87)=0,"Missing Data","OK")</f>
        <v>OK</v>
      </c>
      <c r="D87" t="str">
        <f>VLOOKUP(B87,Farmers!$A$1:$B$51,2,FALSE)</f>
        <v>Colombia</v>
      </c>
      <c r="E87">
        <v>2023</v>
      </c>
      <c r="F87" t="str">
        <f t="shared" si="1"/>
        <v>Provided</v>
      </c>
      <c r="G87" t="s">
        <v>223</v>
      </c>
      <c r="H87" t="s">
        <v>9</v>
      </c>
      <c r="I87" s="1">
        <v>45047</v>
      </c>
    </row>
    <row r="88" spans="1:9" x14ac:dyDescent="0.25">
      <c r="A88" t="s">
        <v>224</v>
      </c>
      <c r="B88" t="s">
        <v>76</v>
      </c>
      <c r="C88" t="str">
        <f>IF(COUNTIF(Farmers!A:A,Raw_coffee_shipments!B88)=0,"Missing Data","OK")</f>
        <v>OK</v>
      </c>
      <c r="D88" t="str">
        <f>VLOOKUP(B88,Farmers!$A$1:$B$51,2,FALSE)</f>
        <v>Colombia</v>
      </c>
      <c r="E88">
        <v>2023</v>
      </c>
      <c r="F88" t="str">
        <f t="shared" si="1"/>
        <v>Provided</v>
      </c>
      <c r="G88" t="s">
        <v>225</v>
      </c>
      <c r="H88" t="s">
        <v>17</v>
      </c>
      <c r="I88" s="1" t="s">
        <v>254</v>
      </c>
    </row>
    <row r="89" spans="1:9" x14ac:dyDescent="0.25">
      <c r="A89" t="s">
        <v>226</v>
      </c>
      <c r="B89" t="s">
        <v>198</v>
      </c>
      <c r="C89" t="str">
        <f>IF(COUNTIF(Farmers!A:A,Raw_coffee_shipments!B89)=0,"Missing Data","OK")</f>
        <v>OK</v>
      </c>
      <c r="D89" t="str">
        <f>VLOOKUP(B89,Farmers!$A$1:$B$51,2,FALSE)</f>
        <v>Brazil</v>
      </c>
      <c r="E89">
        <v>2022</v>
      </c>
      <c r="F89" t="str">
        <f t="shared" si="1"/>
        <v>Provided</v>
      </c>
      <c r="G89" t="s">
        <v>227</v>
      </c>
      <c r="H89" t="s">
        <v>9</v>
      </c>
      <c r="I89" s="1">
        <v>45047</v>
      </c>
    </row>
    <row r="90" spans="1:9" x14ac:dyDescent="0.25">
      <c r="A90" t="s">
        <v>228</v>
      </c>
      <c r="B90" t="s">
        <v>229</v>
      </c>
      <c r="C90" t="str">
        <f>IF(COUNTIF(Farmers!A:A,Raw_coffee_shipments!B90)=0,"Missing Data","OK")</f>
        <v>OK</v>
      </c>
      <c r="D90" t="str">
        <f>VLOOKUP(B90,Farmers!$A$1:$B$51,2,FALSE)</f>
        <v>Colombia</v>
      </c>
      <c r="E90">
        <v>2021</v>
      </c>
      <c r="F90" t="str">
        <f t="shared" si="1"/>
        <v>Provided</v>
      </c>
      <c r="G90" t="s">
        <v>230</v>
      </c>
      <c r="H90" t="s">
        <v>9</v>
      </c>
      <c r="I90" s="1">
        <v>45092</v>
      </c>
    </row>
    <row r="91" spans="1:9" x14ac:dyDescent="0.25">
      <c r="A91" t="s">
        <v>231</v>
      </c>
      <c r="B91" t="s">
        <v>212</v>
      </c>
      <c r="C91" t="str">
        <f>IF(COUNTIF(Farmers!A:A,Raw_coffee_shipments!B91)=0,"Missing Data","OK")</f>
        <v>OK</v>
      </c>
      <c r="D91" t="str">
        <f>VLOOKUP(B91,Farmers!$A$1:$B$51,2,FALSE)</f>
        <v>Colombia</v>
      </c>
      <c r="E91">
        <v>2020</v>
      </c>
      <c r="F91" t="str">
        <f t="shared" si="1"/>
        <v>Provided</v>
      </c>
      <c r="G91" t="s">
        <v>232</v>
      </c>
      <c r="H91" t="s">
        <v>13</v>
      </c>
      <c r="I91" s="1">
        <v>45047</v>
      </c>
    </row>
    <row r="92" spans="1:9" x14ac:dyDescent="0.25">
      <c r="A92" t="s">
        <v>233</v>
      </c>
      <c r="B92" t="s">
        <v>89</v>
      </c>
      <c r="C92" t="str">
        <f>IF(COUNTIF(Farmers!A:A,Raw_coffee_shipments!B92)=0,"Missing Data","OK")</f>
        <v>OK</v>
      </c>
      <c r="D92" t="str">
        <f>VLOOKUP(B92,Farmers!$A$1:$B$51,2,FALSE)</f>
        <v>Vietnam</v>
      </c>
      <c r="E92">
        <v>2021</v>
      </c>
      <c r="F92" t="str">
        <f t="shared" si="1"/>
        <v>Provided</v>
      </c>
      <c r="G92" t="s">
        <v>234</v>
      </c>
      <c r="H92" t="s">
        <v>13</v>
      </c>
      <c r="I92" s="1" t="s">
        <v>254</v>
      </c>
    </row>
    <row r="93" spans="1:9" x14ac:dyDescent="0.25">
      <c r="A93" t="s">
        <v>235</v>
      </c>
      <c r="B93" t="s">
        <v>34</v>
      </c>
      <c r="C93" t="str">
        <f>IF(COUNTIF(Farmers!A:A,Raw_coffee_shipments!B93)=0,"Missing Data","OK")</f>
        <v>OK</v>
      </c>
      <c r="D93" t="str">
        <f>VLOOKUP(B93,Farmers!$A$1:$B$51,2,FALSE)</f>
        <v>Ethiopia</v>
      </c>
      <c r="E93">
        <v>2022</v>
      </c>
      <c r="F93" t="str">
        <f t="shared" si="1"/>
        <v>Provided</v>
      </c>
      <c r="G93" t="s">
        <v>236</v>
      </c>
      <c r="H93" t="s">
        <v>13</v>
      </c>
      <c r="I93" s="1" t="s">
        <v>254</v>
      </c>
    </row>
    <row r="94" spans="1:9" x14ac:dyDescent="0.25">
      <c r="A94" t="s">
        <v>237</v>
      </c>
      <c r="B94" t="s">
        <v>28</v>
      </c>
      <c r="C94" t="str">
        <f>IF(COUNTIF(Farmers!A:A,Raw_coffee_shipments!B94)=0,"Missing Data","OK")</f>
        <v>OK</v>
      </c>
      <c r="D94" t="str">
        <f>VLOOKUP(B94,Farmers!$A$1:$B$51,2,FALSE)</f>
        <v>Brazil</v>
      </c>
      <c r="F94" t="str">
        <f t="shared" si="1"/>
        <v>Unknown</v>
      </c>
      <c r="G94" t="s">
        <v>238</v>
      </c>
      <c r="H94" t="s">
        <v>17</v>
      </c>
      <c r="I94" s="1" t="s">
        <v>254</v>
      </c>
    </row>
    <row r="95" spans="1:9" x14ac:dyDescent="0.25">
      <c r="A95" t="s">
        <v>239</v>
      </c>
      <c r="B95" t="s">
        <v>185</v>
      </c>
      <c r="C95" t="str">
        <f>IF(COUNTIF(Farmers!A:A,Raw_coffee_shipments!B95)=0,"Missing Data","OK")</f>
        <v>OK</v>
      </c>
      <c r="D95" t="str">
        <f>VLOOKUP(B95,Farmers!$A$1:$B$51,2,FALSE)</f>
        <v>Brazil</v>
      </c>
      <c r="E95">
        <v>2020</v>
      </c>
      <c r="F95" t="str">
        <f t="shared" si="1"/>
        <v>Provided</v>
      </c>
      <c r="G95" t="s">
        <v>240</v>
      </c>
      <c r="H95" t="s">
        <v>17</v>
      </c>
      <c r="I95" s="1" t="s">
        <v>254</v>
      </c>
    </row>
    <row r="96" spans="1:9" x14ac:dyDescent="0.25">
      <c r="A96" t="s">
        <v>241</v>
      </c>
      <c r="B96" t="s">
        <v>51</v>
      </c>
      <c r="C96" t="str">
        <f>IF(COUNTIF(Farmers!A:A,Raw_coffee_shipments!B96)=0,"Missing Data","OK")</f>
        <v>OK</v>
      </c>
      <c r="D96" t="str">
        <f>VLOOKUP(B96,Farmers!$A$1:$B$51,2,FALSE)</f>
        <v>Ethiopia</v>
      </c>
      <c r="E96">
        <v>2021</v>
      </c>
      <c r="F96" t="str">
        <f t="shared" si="1"/>
        <v>Provided</v>
      </c>
      <c r="G96" t="s">
        <v>242</v>
      </c>
      <c r="H96" t="s">
        <v>9</v>
      </c>
      <c r="I96" s="1">
        <v>45047</v>
      </c>
    </row>
    <row r="97" spans="1:9" x14ac:dyDescent="0.25">
      <c r="A97" t="s">
        <v>243</v>
      </c>
      <c r="B97" t="s">
        <v>244</v>
      </c>
      <c r="C97" t="str">
        <f>IF(COUNTIF(Farmers!A:A,Raw_coffee_shipments!B97)=0,"Missing Data","OK")</f>
        <v>OK</v>
      </c>
      <c r="D97" t="str">
        <f>VLOOKUP(B97,Farmers!$A$1:$B$51,2,FALSE)</f>
        <v>Brazil</v>
      </c>
      <c r="F97" t="str">
        <f t="shared" si="1"/>
        <v>Unknown</v>
      </c>
      <c r="G97" t="s">
        <v>245</v>
      </c>
      <c r="H97" t="s">
        <v>254</v>
      </c>
      <c r="I97" s="1">
        <v>45047</v>
      </c>
    </row>
    <row r="98" spans="1:9" x14ac:dyDescent="0.25">
      <c r="A98" t="s">
        <v>246</v>
      </c>
      <c r="B98" t="s">
        <v>37</v>
      </c>
      <c r="C98" t="str">
        <f>IF(COUNTIF(Farmers!A:A,Raw_coffee_shipments!B98)=0,"Missing Data","OK")</f>
        <v>OK</v>
      </c>
      <c r="D98" t="str">
        <f>VLOOKUP(B98,Farmers!$A$1:$B$51,2,FALSE)</f>
        <v>Vietnam</v>
      </c>
      <c r="E98">
        <v>2021</v>
      </c>
      <c r="F98" t="str">
        <f t="shared" si="1"/>
        <v>Provided</v>
      </c>
      <c r="G98" t="s">
        <v>247</v>
      </c>
      <c r="H98" t="s">
        <v>13</v>
      </c>
      <c r="I98" s="1">
        <v>45047</v>
      </c>
    </row>
    <row r="99" spans="1:9" x14ac:dyDescent="0.25">
      <c r="A99" t="s">
        <v>248</v>
      </c>
      <c r="B99" t="s">
        <v>54</v>
      </c>
      <c r="C99" t="str">
        <f>IF(COUNTIF(Farmers!A:A,Raw_coffee_shipments!B99)=0,"Missing Data","OK")</f>
        <v>OK</v>
      </c>
      <c r="D99" t="str">
        <f>VLOOKUP(B99,Farmers!$A$1:$B$51,2,FALSE)</f>
        <v>Ethiopia</v>
      </c>
      <c r="F99" t="str">
        <f t="shared" si="1"/>
        <v>Unknown</v>
      </c>
      <c r="G99" t="s">
        <v>249</v>
      </c>
      <c r="H99" t="s">
        <v>254</v>
      </c>
      <c r="I99" s="1" t="s">
        <v>254</v>
      </c>
    </row>
    <row r="100" spans="1:9" x14ac:dyDescent="0.25">
      <c r="A100" t="s">
        <v>250</v>
      </c>
      <c r="B100" t="s">
        <v>22</v>
      </c>
      <c r="C100" t="str">
        <f>IF(COUNTIF(Farmers!A:A,Raw_coffee_shipments!B100)=0,"Missing Data","OK")</f>
        <v>OK</v>
      </c>
      <c r="D100" t="str">
        <f>VLOOKUP(B100,Farmers!$A$1:$B$51,2,FALSE)</f>
        <v>Colombia</v>
      </c>
      <c r="E100">
        <v>2021</v>
      </c>
      <c r="F100" t="str">
        <f t="shared" si="1"/>
        <v>Provided</v>
      </c>
      <c r="G100" t="s">
        <v>251</v>
      </c>
      <c r="H100" t="s">
        <v>17</v>
      </c>
      <c r="I100" s="1">
        <v>45047</v>
      </c>
    </row>
    <row r="101" spans="1:9" x14ac:dyDescent="0.25">
      <c r="A101" t="s">
        <v>252</v>
      </c>
      <c r="B101" t="s">
        <v>51</v>
      </c>
      <c r="C101" t="str">
        <f>IF(COUNTIF(Farmers!A:A,Raw_coffee_shipments!B101)=0,"Missing Data","OK")</f>
        <v>OK</v>
      </c>
      <c r="D101" t="str">
        <f>VLOOKUP(B101,Farmers!$A$1:$B$51,2,FALSE)</f>
        <v>Ethiopia</v>
      </c>
      <c r="E101">
        <v>2022</v>
      </c>
      <c r="F101" t="str">
        <f t="shared" si="1"/>
        <v>Provided</v>
      </c>
      <c r="G101" t="s">
        <v>253</v>
      </c>
      <c r="H101" t="s">
        <v>9</v>
      </c>
      <c r="I101" s="1">
        <v>45047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17.42578125" customWidth="1"/>
  </cols>
  <sheetData>
    <row r="3" spans="1:2" x14ac:dyDescent="0.25">
      <c r="A3" s="6" t="s">
        <v>271</v>
      </c>
      <c r="B3" t="s">
        <v>274</v>
      </c>
    </row>
    <row r="4" spans="1:2" x14ac:dyDescent="0.25">
      <c r="A4" s="7" t="s">
        <v>262</v>
      </c>
      <c r="B4" s="12">
        <v>33938.099999999991</v>
      </c>
    </row>
    <row r="5" spans="1:2" x14ac:dyDescent="0.25">
      <c r="A5" s="7" t="s">
        <v>258</v>
      </c>
      <c r="B5" s="12">
        <v>17710.8</v>
      </c>
    </row>
    <row r="6" spans="1:2" x14ac:dyDescent="0.25">
      <c r="A6" s="7" t="s">
        <v>260</v>
      </c>
      <c r="B6" s="12">
        <v>23572.2</v>
      </c>
    </row>
    <row r="7" spans="1:2" x14ac:dyDescent="0.25">
      <c r="A7" s="7" t="s">
        <v>254</v>
      </c>
      <c r="B7" s="12">
        <v>11897.5</v>
      </c>
    </row>
    <row r="8" spans="1:2" x14ac:dyDescent="0.25">
      <c r="A8" s="7" t="s">
        <v>263</v>
      </c>
      <c r="B8" s="12">
        <v>11090.800000000001</v>
      </c>
    </row>
    <row r="9" spans="1:2" x14ac:dyDescent="0.25">
      <c r="A9" s="7" t="s">
        <v>272</v>
      </c>
      <c r="B9" s="8">
        <v>98209.4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B3" sqref="B3"/>
    </sheetView>
  </sheetViews>
  <sheetFormatPr defaultRowHeight="15" x14ac:dyDescent="0.25"/>
  <cols>
    <col min="1" max="1" width="12.42578125" bestFit="1" customWidth="1"/>
    <col min="2" max="2" width="10.140625" bestFit="1" customWidth="1"/>
    <col min="3" max="3" width="15.5703125" bestFit="1" customWidth="1"/>
    <col min="4" max="4" width="9.42578125" bestFit="1" customWidth="1"/>
    <col min="5" max="5" width="12.7109375" style="10" bestFit="1" customWidth="1"/>
    <col min="6" max="6" width="18.85546875" bestFit="1" customWidth="1"/>
    <col min="7" max="7" width="10.5703125" style="12" bestFit="1" customWidth="1"/>
    <col min="8" max="8" width="18.85546875" bestFit="1" customWidth="1"/>
    <col min="9" max="9" width="12.5703125" bestFit="1" customWidth="1"/>
  </cols>
  <sheetData>
    <row r="1" spans="1:9" x14ac:dyDescent="0.25">
      <c r="A1" s="2" t="s">
        <v>0</v>
      </c>
      <c r="B1" s="2" t="s">
        <v>1</v>
      </c>
      <c r="C1" s="2" t="s">
        <v>270</v>
      </c>
      <c r="D1" s="2" t="s">
        <v>256</v>
      </c>
      <c r="E1" s="9" t="s">
        <v>2</v>
      </c>
      <c r="F1" s="2" t="s">
        <v>255</v>
      </c>
      <c r="G1" s="11" t="s">
        <v>3</v>
      </c>
      <c r="H1" s="2" t="s">
        <v>4</v>
      </c>
      <c r="I1" s="3" t="s">
        <v>5</v>
      </c>
    </row>
    <row r="2" spans="1:9" x14ac:dyDescent="0.25">
      <c r="A2" t="s">
        <v>6</v>
      </c>
      <c r="B2" t="s">
        <v>7</v>
      </c>
      <c r="C2" t="str">
        <f>IF(COUNTIF(Farmers!A:A,Raw_coffee_shipments!B2)=0,"Missing Data","OK")</f>
        <v>OK</v>
      </c>
      <c r="D2" t="str">
        <f>VLOOKUP(B2,Farmers!$A$1:$B$51,2,FALSE)</f>
        <v>Ethiopia</v>
      </c>
      <c r="E2" s="10">
        <v>2021</v>
      </c>
      <c r="F2" t="str">
        <f>IF(E2="","Unknown","Provided")</f>
        <v>Provided</v>
      </c>
      <c r="G2" s="12">
        <v>1918.8</v>
      </c>
      <c r="H2" t="s">
        <v>9</v>
      </c>
      <c r="I2" s="1">
        <v>45047</v>
      </c>
    </row>
    <row r="3" spans="1:9" x14ac:dyDescent="0.25">
      <c r="A3" t="s">
        <v>10</v>
      </c>
      <c r="B3" t="s">
        <v>11</v>
      </c>
      <c r="C3" t="str">
        <f>IF(COUNTIF(Farmers!A:A,Raw_coffee_shipments!B3)=0,"Missing Data","OK")</f>
        <v>OK</v>
      </c>
      <c r="D3" t="str">
        <f>VLOOKUP(B3,Farmers!$A$1:$B$51,2,FALSE)</f>
        <v>Unknown</v>
      </c>
      <c r="E3" s="10">
        <v>2020</v>
      </c>
      <c r="F3" t="str">
        <f t="shared" ref="F3:F66" si="0">IF(E3="","Unknown","Provided")</f>
        <v>Provided</v>
      </c>
      <c r="G3" s="12">
        <v>1495.2</v>
      </c>
      <c r="H3" t="s">
        <v>13</v>
      </c>
      <c r="I3" s="1">
        <v>45047</v>
      </c>
    </row>
    <row r="4" spans="1:9" x14ac:dyDescent="0.25">
      <c r="A4" t="s">
        <v>14</v>
      </c>
      <c r="B4" t="s">
        <v>15</v>
      </c>
      <c r="C4" t="str">
        <f>IF(COUNTIF(Farmers!A:A,Raw_coffee_shipments!B4)=0,"Missing Data","OK")</f>
        <v>OK</v>
      </c>
      <c r="D4" t="str">
        <f>VLOOKUP(B4,Farmers!$A$1:$B$51,2,FALSE)</f>
        <v>Unknown</v>
      </c>
      <c r="E4" s="10">
        <v>2021</v>
      </c>
      <c r="F4" t="str">
        <f t="shared" si="0"/>
        <v>Provided</v>
      </c>
      <c r="G4" s="12">
        <v>1583.2</v>
      </c>
      <c r="H4" t="s">
        <v>17</v>
      </c>
      <c r="I4" s="1">
        <v>45092</v>
      </c>
    </row>
    <row r="5" spans="1:9" x14ac:dyDescent="0.25">
      <c r="A5" t="s">
        <v>18</v>
      </c>
      <c r="B5" t="s">
        <v>19</v>
      </c>
      <c r="C5" t="str">
        <f>IF(COUNTIF(Farmers!A:A,Raw_coffee_shipments!B5)=0,"Missing Data","OK")</f>
        <v>OK</v>
      </c>
      <c r="D5" t="str">
        <f>VLOOKUP(B5,Farmers!$A$1:$B$51,2,FALSE)</f>
        <v>Colombia</v>
      </c>
      <c r="E5" s="10">
        <v>2022</v>
      </c>
      <c r="F5" t="str">
        <f t="shared" si="0"/>
        <v>Provided</v>
      </c>
      <c r="G5" s="12">
        <v>904.2</v>
      </c>
      <c r="H5" t="s">
        <v>17</v>
      </c>
      <c r="I5" s="1" t="s">
        <v>254</v>
      </c>
    </row>
    <row r="6" spans="1:9" x14ac:dyDescent="0.25">
      <c r="A6" t="s">
        <v>21</v>
      </c>
      <c r="B6" t="s">
        <v>22</v>
      </c>
      <c r="C6" t="str">
        <f>IF(COUNTIF(Farmers!A:A,Raw_coffee_shipments!B6)=0,"Missing Data","OK")</f>
        <v>OK</v>
      </c>
      <c r="D6" t="str">
        <f>VLOOKUP(B6,Farmers!$A$1:$B$51,2,FALSE)</f>
        <v>Colombia</v>
      </c>
      <c r="E6" s="10">
        <v>2020</v>
      </c>
      <c r="F6" t="str">
        <f t="shared" si="0"/>
        <v>Provided</v>
      </c>
      <c r="G6" s="12">
        <v>273.89999999999998</v>
      </c>
      <c r="H6" t="s">
        <v>9</v>
      </c>
      <c r="I6" s="1">
        <v>45092</v>
      </c>
    </row>
    <row r="7" spans="1:9" x14ac:dyDescent="0.25">
      <c r="A7" t="s">
        <v>24</v>
      </c>
      <c r="B7" t="s">
        <v>25</v>
      </c>
      <c r="C7" t="str">
        <f>IF(COUNTIF(Farmers!A:A,Raw_coffee_shipments!B7)=0,"Missing Data","OK")</f>
        <v>OK</v>
      </c>
      <c r="D7" t="str">
        <f>VLOOKUP(B7,Farmers!$A$1:$B$51,2,FALSE)</f>
        <v>Unknown</v>
      </c>
      <c r="E7" s="10">
        <v>2020</v>
      </c>
      <c r="F7" t="str">
        <f t="shared" si="0"/>
        <v>Provided</v>
      </c>
      <c r="G7" s="12">
        <v>1124</v>
      </c>
      <c r="H7" t="s">
        <v>254</v>
      </c>
      <c r="I7" s="1">
        <v>45092</v>
      </c>
    </row>
    <row r="8" spans="1:9" x14ac:dyDescent="0.25">
      <c r="A8" t="s">
        <v>27</v>
      </c>
      <c r="B8" t="s">
        <v>28</v>
      </c>
      <c r="C8" t="str">
        <f>IF(COUNTIF(Farmers!A:A,Raw_coffee_shipments!B8)=0,"Missing Data","OK")</f>
        <v>OK</v>
      </c>
      <c r="D8" t="str">
        <f>VLOOKUP(B8,Farmers!$A$1:$B$51,2,FALSE)</f>
        <v>Brazil</v>
      </c>
      <c r="E8" s="10">
        <v>2022</v>
      </c>
      <c r="F8" t="str">
        <f t="shared" si="0"/>
        <v>Provided</v>
      </c>
      <c r="G8" s="12">
        <v>517.5</v>
      </c>
      <c r="H8" t="s">
        <v>254</v>
      </c>
      <c r="I8" s="1">
        <v>45047</v>
      </c>
    </row>
    <row r="9" spans="1:9" x14ac:dyDescent="0.25">
      <c r="A9" t="s">
        <v>30</v>
      </c>
      <c r="B9" t="s">
        <v>31</v>
      </c>
      <c r="C9" t="str">
        <f>IF(COUNTIF(Farmers!A:A,Raw_coffee_shipments!B9)=0,"Missing Data","OK")</f>
        <v>OK</v>
      </c>
      <c r="D9" t="str">
        <f>VLOOKUP(B9,Farmers!$A$1:$B$51,2,FALSE)</f>
        <v>Ethiopia</v>
      </c>
      <c r="E9" s="10">
        <v>2022</v>
      </c>
      <c r="F9" t="str">
        <f t="shared" si="0"/>
        <v>Provided</v>
      </c>
      <c r="G9" s="12">
        <v>1066.5999999999999</v>
      </c>
      <c r="H9" t="s">
        <v>9</v>
      </c>
      <c r="I9" s="1">
        <v>45047</v>
      </c>
    </row>
    <row r="10" spans="1:9" x14ac:dyDescent="0.25">
      <c r="A10" t="s">
        <v>33</v>
      </c>
      <c r="B10" t="s">
        <v>34</v>
      </c>
      <c r="C10" t="str">
        <f>IF(COUNTIF(Farmers!A:A,Raw_coffee_shipments!B10)=0,"Missing Data","OK")</f>
        <v>OK</v>
      </c>
      <c r="D10" t="str">
        <f>VLOOKUP(B10,Farmers!$A$1:$B$51,2,FALSE)</f>
        <v>Ethiopia</v>
      </c>
      <c r="E10" s="10">
        <v>2020</v>
      </c>
      <c r="F10" t="str">
        <f t="shared" si="0"/>
        <v>Provided</v>
      </c>
      <c r="G10" s="12">
        <v>130.5</v>
      </c>
      <c r="H10" t="s">
        <v>17</v>
      </c>
      <c r="I10" s="1">
        <v>45047</v>
      </c>
    </row>
    <row r="11" spans="1:9" x14ac:dyDescent="0.25">
      <c r="A11" t="s">
        <v>36</v>
      </c>
      <c r="B11" t="s">
        <v>37</v>
      </c>
      <c r="C11" t="str">
        <f>IF(COUNTIF(Farmers!A:A,Raw_coffee_shipments!B11)=0,"Missing Data","OK")</f>
        <v>OK</v>
      </c>
      <c r="D11" t="str">
        <f>VLOOKUP(B11,Farmers!$A$1:$B$51,2,FALSE)</f>
        <v>Vietnam</v>
      </c>
      <c r="E11" s="10">
        <v>2023</v>
      </c>
      <c r="F11" t="str">
        <f t="shared" si="0"/>
        <v>Provided</v>
      </c>
      <c r="G11" s="12">
        <v>1445.5</v>
      </c>
      <c r="H11" t="s">
        <v>254</v>
      </c>
      <c r="I11" s="1">
        <v>45047</v>
      </c>
    </row>
    <row r="12" spans="1:9" x14ac:dyDescent="0.25">
      <c r="A12" t="s">
        <v>39</v>
      </c>
      <c r="B12" t="s">
        <v>40</v>
      </c>
      <c r="C12" t="str">
        <f>IF(COUNTIF(Farmers!A:A,Raw_coffee_shipments!B12)=0,"Missing Data","OK")</f>
        <v>OK</v>
      </c>
      <c r="D12" t="str">
        <f>VLOOKUP(B12,Farmers!$A$1:$B$51,2,FALSE)</f>
        <v>Colombia</v>
      </c>
      <c r="E12" s="10">
        <v>2020</v>
      </c>
      <c r="F12" t="str">
        <f t="shared" si="0"/>
        <v>Provided</v>
      </c>
      <c r="G12" s="12">
        <v>778.5</v>
      </c>
      <c r="H12" t="s">
        <v>9</v>
      </c>
      <c r="I12" s="1">
        <v>45047</v>
      </c>
    </row>
    <row r="13" spans="1:9" x14ac:dyDescent="0.25">
      <c r="A13" t="s">
        <v>42</v>
      </c>
      <c r="B13" t="s">
        <v>43</v>
      </c>
      <c r="C13" t="str">
        <f>IF(COUNTIF(Farmers!A:A,Raw_coffee_shipments!B13)=0,"Missing Data","OK")</f>
        <v>OK</v>
      </c>
      <c r="D13" t="str">
        <f>VLOOKUP(B13,Farmers!$A$1:$B$51,2,FALSE)</f>
        <v>Colombia</v>
      </c>
      <c r="E13" s="10">
        <v>2022</v>
      </c>
      <c r="F13" t="str">
        <f t="shared" si="0"/>
        <v>Provided</v>
      </c>
      <c r="G13" s="12">
        <v>247.3</v>
      </c>
      <c r="H13" t="s">
        <v>254</v>
      </c>
      <c r="I13" s="1">
        <v>45047</v>
      </c>
    </row>
    <row r="14" spans="1:9" x14ac:dyDescent="0.25">
      <c r="A14" t="s">
        <v>45</v>
      </c>
      <c r="B14" t="s">
        <v>46</v>
      </c>
      <c r="C14" t="str">
        <f>IF(COUNTIF(Farmers!A:A,Raw_coffee_shipments!B14)=0,"Missing Data","OK")</f>
        <v>OK</v>
      </c>
      <c r="D14" t="str">
        <f>VLOOKUP(B14,Farmers!$A$1:$B$51,2,FALSE)</f>
        <v>Vietnam</v>
      </c>
      <c r="E14" s="10">
        <v>2019</v>
      </c>
      <c r="F14" t="str">
        <f t="shared" si="0"/>
        <v>Provided</v>
      </c>
      <c r="G14" s="12">
        <v>647.1</v>
      </c>
      <c r="H14" t="s">
        <v>17</v>
      </c>
      <c r="I14" s="1" t="s">
        <v>254</v>
      </c>
    </row>
    <row r="15" spans="1:9" x14ac:dyDescent="0.25">
      <c r="A15" t="s">
        <v>48</v>
      </c>
      <c r="B15" t="s">
        <v>7</v>
      </c>
      <c r="C15" t="str">
        <f>IF(COUNTIF(Farmers!A:A,Raw_coffee_shipments!B15)=0,"Missing Data","OK")</f>
        <v>OK</v>
      </c>
      <c r="D15" t="str">
        <f>VLOOKUP(B15,Farmers!$A$1:$B$51,2,FALSE)</f>
        <v>Ethiopia</v>
      </c>
      <c r="E15" s="10">
        <v>2021</v>
      </c>
      <c r="F15" t="str">
        <f t="shared" si="0"/>
        <v>Provided</v>
      </c>
      <c r="G15" s="12">
        <v>339.8</v>
      </c>
      <c r="H15" t="s">
        <v>17</v>
      </c>
      <c r="I15" s="1" t="s">
        <v>254</v>
      </c>
    </row>
    <row r="16" spans="1:9" x14ac:dyDescent="0.25">
      <c r="A16" t="s">
        <v>50</v>
      </c>
      <c r="B16" t="s">
        <v>51</v>
      </c>
      <c r="C16" t="str">
        <f>IF(COUNTIF(Farmers!A:A,Raw_coffee_shipments!B16)=0,"Missing Data","OK")</f>
        <v>OK</v>
      </c>
      <c r="D16" t="str">
        <f>VLOOKUP(B16,Farmers!$A$1:$B$51,2,FALSE)</f>
        <v>Ethiopia</v>
      </c>
      <c r="E16" s="10">
        <v>2023</v>
      </c>
      <c r="F16" t="str">
        <f t="shared" si="0"/>
        <v>Provided</v>
      </c>
      <c r="G16" s="12">
        <v>875.4</v>
      </c>
      <c r="H16" t="s">
        <v>254</v>
      </c>
      <c r="I16" s="1">
        <v>45047</v>
      </c>
    </row>
    <row r="17" spans="1:9" x14ac:dyDescent="0.25">
      <c r="A17" t="s">
        <v>53</v>
      </c>
      <c r="B17" t="s">
        <v>54</v>
      </c>
      <c r="C17" t="str">
        <f>IF(COUNTIF(Farmers!A:A,Raw_coffee_shipments!B17)=0,"Missing Data","OK")</f>
        <v>OK</v>
      </c>
      <c r="D17" t="str">
        <f>VLOOKUP(B17,Farmers!$A$1:$B$51,2,FALSE)</f>
        <v>Ethiopia</v>
      </c>
      <c r="E17" s="10">
        <v>2023</v>
      </c>
      <c r="F17" t="str">
        <f t="shared" si="0"/>
        <v>Provided</v>
      </c>
      <c r="G17" s="12">
        <v>544.29999999999995</v>
      </c>
      <c r="H17" t="s">
        <v>13</v>
      </c>
      <c r="I17" s="1">
        <v>45092</v>
      </c>
    </row>
    <row r="18" spans="1:9" x14ac:dyDescent="0.25">
      <c r="A18" t="s">
        <v>56</v>
      </c>
      <c r="B18" t="s">
        <v>57</v>
      </c>
      <c r="C18" t="str">
        <f>IF(COUNTIF(Farmers!A:A,Raw_coffee_shipments!B18)=0,"Missing Data","OK")</f>
        <v>OK</v>
      </c>
      <c r="D18" t="str">
        <f>VLOOKUP(B18,Farmers!$A$1:$B$51,2,FALSE)</f>
        <v>Colombia</v>
      </c>
      <c r="E18" s="10">
        <v>2020</v>
      </c>
      <c r="F18" t="str">
        <f t="shared" si="0"/>
        <v>Provided</v>
      </c>
      <c r="G18" s="12">
        <v>783.4</v>
      </c>
      <c r="H18" t="s">
        <v>17</v>
      </c>
      <c r="I18" s="1">
        <v>45047</v>
      </c>
    </row>
    <row r="19" spans="1:9" x14ac:dyDescent="0.25">
      <c r="A19" t="s">
        <v>59</v>
      </c>
      <c r="B19" t="s">
        <v>60</v>
      </c>
      <c r="C19" t="str">
        <f>IF(COUNTIF(Farmers!A:A,Raw_coffee_shipments!B19)=0,"Missing Data","OK")</f>
        <v>OK</v>
      </c>
      <c r="D19" t="str">
        <f>VLOOKUP(B19,Farmers!$A$1:$B$51,2,FALSE)</f>
        <v>Unknown</v>
      </c>
      <c r="E19" s="10">
        <v>2021</v>
      </c>
      <c r="F19" t="str">
        <f t="shared" si="0"/>
        <v>Provided</v>
      </c>
      <c r="G19" s="12">
        <v>690.6</v>
      </c>
      <c r="H19" t="s">
        <v>17</v>
      </c>
      <c r="I19" s="1" t="s">
        <v>254</v>
      </c>
    </row>
    <row r="20" spans="1:9" x14ac:dyDescent="0.25">
      <c r="A20" t="s">
        <v>62</v>
      </c>
      <c r="B20" t="s">
        <v>11</v>
      </c>
      <c r="C20" t="str">
        <f>IF(COUNTIF(Farmers!A:A,Raw_coffee_shipments!B20)=0,"Missing Data","OK")</f>
        <v>OK</v>
      </c>
      <c r="D20" t="str">
        <f>VLOOKUP(B20,Farmers!$A$1:$B$51,2,FALSE)</f>
        <v>Unknown</v>
      </c>
      <c r="E20" s="10">
        <v>2023</v>
      </c>
      <c r="F20" t="str">
        <f t="shared" si="0"/>
        <v>Provided</v>
      </c>
      <c r="G20" s="12">
        <v>1969.5</v>
      </c>
      <c r="H20" t="s">
        <v>254</v>
      </c>
      <c r="I20" s="1">
        <v>45047</v>
      </c>
    </row>
    <row r="21" spans="1:9" x14ac:dyDescent="0.25">
      <c r="A21" t="s">
        <v>64</v>
      </c>
      <c r="B21" t="s">
        <v>65</v>
      </c>
      <c r="C21" t="str">
        <f>IF(COUNTIF(Farmers!A:A,Raw_coffee_shipments!B21)=0,"Missing Data","OK")</f>
        <v>OK</v>
      </c>
      <c r="D21" t="str">
        <f>VLOOKUP(B21,Farmers!$A$1:$B$51,2,FALSE)</f>
        <v>Vietnam</v>
      </c>
      <c r="E21" s="10">
        <v>2021</v>
      </c>
      <c r="F21" t="str">
        <f t="shared" si="0"/>
        <v>Provided</v>
      </c>
      <c r="G21" s="12">
        <v>1532.6</v>
      </c>
      <c r="H21" t="s">
        <v>9</v>
      </c>
      <c r="I21" s="1" t="s">
        <v>254</v>
      </c>
    </row>
    <row r="22" spans="1:9" x14ac:dyDescent="0.25">
      <c r="A22" t="s">
        <v>67</v>
      </c>
      <c r="B22" t="s">
        <v>68</v>
      </c>
      <c r="C22" t="str">
        <f>IF(COUNTIF(Farmers!A:A,Raw_coffee_shipments!B22)=0,"Missing Data","OK")</f>
        <v>OK</v>
      </c>
      <c r="D22" t="str">
        <f>VLOOKUP(B22,Farmers!$A$1:$B$51,2,FALSE)</f>
        <v>Brazil</v>
      </c>
      <c r="E22" s="10">
        <v>2019</v>
      </c>
      <c r="F22" t="str">
        <f t="shared" si="0"/>
        <v>Provided</v>
      </c>
      <c r="G22" s="12">
        <v>1863.1</v>
      </c>
      <c r="H22" t="s">
        <v>254</v>
      </c>
      <c r="I22" s="1" t="s">
        <v>254</v>
      </c>
    </row>
    <row r="23" spans="1:9" x14ac:dyDescent="0.25">
      <c r="A23" t="s">
        <v>70</v>
      </c>
      <c r="B23" t="s">
        <v>71</v>
      </c>
      <c r="C23" t="str">
        <f>IF(COUNTIF(Farmers!A:A,Raw_coffee_shipments!B23)=0,"Missing Data","OK")</f>
        <v>OK</v>
      </c>
      <c r="D23" t="str">
        <f>VLOOKUP(B23,Farmers!$A$1:$B$51,2,FALSE)</f>
        <v>Brazil</v>
      </c>
      <c r="E23" s="10" t="s">
        <v>254</v>
      </c>
      <c r="F23" t="str">
        <f t="shared" si="0"/>
        <v>Provided</v>
      </c>
      <c r="G23" s="12">
        <v>1131.4000000000001</v>
      </c>
      <c r="H23" t="s">
        <v>17</v>
      </c>
      <c r="I23" s="1" t="s">
        <v>254</v>
      </c>
    </row>
    <row r="24" spans="1:9" x14ac:dyDescent="0.25">
      <c r="A24" t="s">
        <v>73</v>
      </c>
      <c r="B24" t="s">
        <v>43</v>
      </c>
      <c r="C24" t="str">
        <f>IF(COUNTIF(Farmers!A:A,Raw_coffee_shipments!B24)=0,"Missing Data","OK")</f>
        <v>OK</v>
      </c>
      <c r="D24" t="str">
        <f>VLOOKUP(B24,Farmers!$A$1:$B$51,2,FALSE)</f>
        <v>Colombia</v>
      </c>
      <c r="E24" s="10">
        <v>2022</v>
      </c>
      <c r="F24" t="str">
        <f t="shared" si="0"/>
        <v>Provided</v>
      </c>
      <c r="G24" s="12">
        <v>1355.5</v>
      </c>
      <c r="H24" t="s">
        <v>254</v>
      </c>
      <c r="I24" s="1">
        <v>45047</v>
      </c>
    </row>
    <row r="25" spans="1:9" x14ac:dyDescent="0.25">
      <c r="A25" t="s">
        <v>75</v>
      </c>
      <c r="B25" t="s">
        <v>76</v>
      </c>
      <c r="C25" t="str">
        <f>IF(COUNTIF(Farmers!A:A,Raw_coffee_shipments!B25)=0,"Missing Data","OK")</f>
        <v>OK</v>
      </c>
      <c r="D25" t="str">
        <f>VLOOKUP(B25,Farmers!$A$1:$B$51,2,FALSE)</f>
        <v>Colombia</v>
      </c>
      <c r="E25" s="10">
        <v>2021</v>
      </c>
      <c r="F25" t="str">
        <f t="shared" si="0"/>
        <v>Provided</v>
      </c>
      <c r="G25" s="12">
        <v>427.7</v>
      </c>
      <c r="H25" t="s">
        <v>254</v>
      </c>
      <c r="I25" s="1">
        <v>45047</v>
      </c>
    </row>
    <row r="26" spans="1:9" x14ac:dyDescent="0.25">
      <c r="A26" t="s">
        <v>78</v>
      </c>
      <c r="B26" t="s">
        <v>34</v>
      </c>
      <c r="C26" t="str">
        <f>IF(COUNTIF(Farmers!A:A,Raw_coffee_shipments!B26)=0,"Missing Data","OK")</f>
        <v>OK</v>
      </c>
      <c r="D26" t="str">
        <f>VLOOKUP(B26,Farmers!$A$1:$B$51,2,FALSE)</f>
        <v>Ethiopia</v>
      </c>
      <c r="E26" s="10">
        <v>2021</v>
      </c>
      <c r="F26" t="str">
        <f t="shared" si="0"/>
        <v>Provided</v>
      </c>
      <c r="G26" s="12">
        <v>791.7</v>
      </c>
      <c r="H26" t="s">
        <v>9</v>
      </c>
      <c r="I26" s="1">
        <v>45047</v>
      </c>
    </row>
    <row r="27" spans="1:9" x14ac:dyDescent="0.25">
      <c r="A27" t="s">
        <v>80</v>
      </c>
      <c r="B27" t="s">
        <v>31</v>
      </c>
      <c r="C27" t="str">
        <f>IF(COUNTIF(Farmers!A:A,Raw_coffee_shipments!B27)=0,"Missing Data","OK")</f>
        <v>OK</v>
      </c>
      <c r="D27" t="str">
        <f>VLOOKUP(B27,Farmers!$A$1:$B$51,2,FALSE)</f>
        <v>Ethiopia</v>
      </c>
      <c r="E27" s="10">
        <v>2020</v>
      </c>
      <c r="F27" t="str">
        <f t="shared" si="0"/>
        <v>Provided</v>
      </c>
      <c r="G27" s="12">
        <v>1513.8</v>
      </c>
      <c r="H27" t="s">
        <v>9</v>
      </c>
      <c r="I27" s="1">
        <v>45092</v>
      </c>
    </row>
    <row r="28" spans="1:9" x14ac:dyDescent="0.25">
      <c r="A28" t="s">
        <v>82</v>
      </c>
      <c r="B28" t="s">
        <v>28</v>
      </c>
      <c r="C28" t="str">
        <f>IF(COUNTIF(Farmers!A:A,Raw_coffee_shipments!B28)=0,"Missing Data","OK")</f>
        <v>OK</v>
      </c>
      <c r="D28" t="str">
        <f>VLOOKUP(B28,Farmers!$A$1:$B$51,2,FALSE)</f>
        <v>Brazil</v>
      </c>
      <c r="E28" s="10">
        <v>2019</v>
      </c>
      <c r="F28" t="str">
        <f t="shared" si="0"/>
        <v>Provided</v>
      </c>
      <c r="G28" s="12">
        <v>775.1</v>
      </c>
      <c r="H28" t="s">
        <v>13</v>
      </c>
      <c r="I28" s="1">
        <v>45047</v>
      </c>
    </row>
    <row r="29" spans="1:9" x14ac:dyDescent="0.25">
      <c r="A29" t="s">
        <v>84</v>
      </c>
      <c r="B29" t="s">
        <v>51</v>
      </c>
      <c r="C29" t="str">
        <f>IF(COUNTIF(Farmers!A:A,Raw_coffee_shipments!B29)=0,"Missing Data","OK")</f>
        <v>OK</v>
      </c>
      <c r="D29" t="str">
        <f>VLOOKUP(B29,Farmers!$A$1:$B$51,2,FALSE)</f>
        <v>Ethiopia</v>
      </c>
      <c r="E29" s="10" t="s">
        <v>254</v>
      </c>
      <c r="F29" t="str">
        <f t="shared" si="0"/>
        <v>Provided</v>
      </c>
      <c r="G29" s="12">
        <v>1758.6</v>
      </c>
      <c r="H29" t="s">
        <v>9</v>
      </c>
      <c r="I29" s="1">
        <v>45047</v>
      </c>
    </row>
    <row r="30" spans="1:9" x14ac:dyDescent="0.25">
      <c r="A30" t="s">
        <v>86</v>
      </c>
      <c r="B30" t="s">
        <v>25</v>
      </c>
      <c r="C30" t="str">
        <f>IF(COUNTIF(Farmers!A:A,Raw_coffee_shipments!B30)=0,"Missing Data","OK")</f>
        <v>OK</v>
      </c>
      <c r="D30" t="str">
        <f>VLOOKUP(B30,Farmers!$A$1:$B$51,2,FALSE)</f>
        <v>Unknown</v>
      </c>
      <c r="E30" s="10">
        <v>2019</v>
      </c>
      <c r="F30" t="str">
        <f t="shared" si="0"/>
        <v>Provided</v>
      </c>
      <c r="G30" s="12">
        <v>313.60000000000002</v>
      </c>
      <c r="H30" t="s">
        <v>254</v>
      </c>
      <c r="I30" s="1">
        <v>45092</v>
      </c>
    </row>
    <row r="31" spans="1:9" x14ac:dyDescent="0.25">
      <c r="A31" t="s">
        <v>88</v>
      </c>
      <c r="B31" t="s">
        <v>89</v>
      </c>
      <c r="C31" t="str">
        <f>IF(COUNTIF(Farmers!A:A,Raw_coffee_shipments!B31)=0,"Missing Data","OK")</f>
        <v>OK</v>
      </c>
      <c r="D31" t="str">
        <f>VLOOKUP(B31,Farmers!$A$1:$B$51,2,FALSE)</f>
        <v>Vietnam</v>
      </c>
      <c r="E31" s="10">
        <v>2019</v>
      </c>
      <c r="F31" t="str">
        <f t="shared" si="0"/>
        <v>Provided</v>
      </c>
      <c r="G31" s="12">
        <v>281.10000000000002</v>
      </c>
      <c r="H31" t="s">
        <v>13</v>
      </c>
      <c r="I31" s="1">
        <v>45092</v>
      </c>
    </row>
    <row r="32" spans="1:9" x14ac:dyDescent="0.25">
      <c r="A32" t="s">
        <v>91</v>
      </c>
      <c r="B32" t="s">
        <v>92</v>
      </c>
      <c r="C32" t="str">
        <f>IF(COUNTIF(Farmers!A:A,Raw_coffee_shipments!B32)=0,"Missing Data","OK")</f>
        <v>OK</v>
      </c>
      <c r="D32" t="str">
        <f>VLOOKUP(B32,Farmers!$A$1:$B$51,2,FALSE)</f>
        <v>Brazil</v>
      </c>
      <c r="E32" s="10" t="s">
        <v>254</v>
      </c>
      <c r="F32" t="str">
        <f t="shared" si="0"/>
        <v>Provided</v>
      </c>
      <c r="G32" s="12">
        <v>75.900000000000006</v>
      </c>
      <c r="H32" t="s">
        <v>254</v>
      </c>
      <c r="I32" s="1" t="s">
        <v>254</v>
      </c>
    </row>
    <row r="33" spans="1:9" x14ac:dyDescent="0.25">
      <c r="A33" t="s">
        <v>94</v>
      </c>
      <c r="B33" t="s">
        <v>40</v>
      </c>
      <c r="C33" t="str">
        <f>IF(COUNTIF(Farmers!A:A,Raw_coffee_shipments!B33)=0,"Missing Data","OK")</f>
        <v>OK</v>
      </c>
      <c r="D33" t="str">
        <f>VLOOKUP(B33,Farmers!$A$1:$B$51,2,FALSE)</f>
        <v>Colombia</v>
      </c>
      <c r="E33" s="10">
        <v>2021</v>
      </c>
      <c r="F33" t="str">
        <f t="shared" si="0"/>
        <v>Provided</v>
      </c>
      <c r="G33" s="12">
        <v>1211.0999999999999</v>
      </c>
      <c r="H33" t="s">
        <v>13</v>
      </c>
      <c r="I33" s="1" t="s">
        <v>254</v>
      </c>
    </row>
    <row r="34" spans="1:9" x14ac:dyDescent="0.25">
      <c r="A34" t="s">
        <v>96</v>
      </c>
      <c r="B34" t="s">
        <v>97</v>
      </c>
      <c r="C34" t="str">
        <f>IF(COUNTIF(Farmers!A:A,Raw_coffee_shipments!B34)=0,"Missing Data","OK")</f>
        <v>OK</v>
      </c>
      <c r="D34" t="str">
        <f>VLOOKUP(B34,Farmers!$A$1:$B$51,2,FALSE)</f>
        <v>Ethiopia</v>
      </c>
      <c r="E34" s="10">
        <v>2023</v>
      </c>
      <c r="F34" t="str">
        <f t="shared" si="0"/>
        <v>Provided</v>
      </c>
      <c r="G34" s="12">
        <v>1657.3</v>
      </c>
      <c r="H34" t="s">
        <v>13</v>
      </c>
      <c r="I34" s="1" t="s">
        <v>254</v>
      </c>
    </row>
    <row r="35" spans="1:9" x14ac:dyDescent="0.25">
      <c r="A35" t="s">
        <v>99</v>
      </c>
      <c r="B35" t="s">
        <v>28</v>
      </c>
      <c r="C35" t="str">
        <f>IF(COUNTIF(Farmers!A:A,Raw_coffee_shipments!B35)=0,"Missing Data","OK")</f>
        <v>OK</v>
      </c>
      <c r="D35" t="str">
        <f>VLOOKUP(B35,Farmers!$A$1:$B$51,2,FALSE)</f>
        <v>Brazil</v>
      </c>
      <c r="E35" s="10">
        <v>2022</v>
      </c>
      <c r="F35" t="str">
        <f t="shared" si="0"/>
        <v>Provided</v>
      </c>
      <c r="G35" s="12">
        <v>868.9</v>
      </c>
      <c r="H35" t="s">
        <v>13</v>
      </c>
      <c r="I35" s="1" t="s">
        <v>254</v>
      </c>
    </row>
    <row r="36" spans="1:9" x14ac:dyDescent="0.25">
      <c r="A36" t="s">
        <v>101</v>
      </c>
      <c r="B36" t="s">
        <v>102</v>
      </c>
      <c r="C36" t="str">
        <f>IF(COUNTIF(Farmers!A:A,Raw_coffee_shipments!B36)=0,"Missing Data","OK")</f>
        <v>OK</v>
      </c>
      <c r="D36" t="str">
        <f>VLOOKUP(B36,Farmers!$A$1:$B$51,2,FALSE)</f>
        <v>Brazil</v>
      </c>
      <c r="E36" s="10">
        <v>2022</v>
      </c>
      <c r="F36" t="str">
        <f t="shared" si="0"/>
        <v>Provided</v>
      </c>
      <c r="G36" s="12">
        <v>1403.2</v>
      </c>
      <c r="H36" t="s">
        <v>17</v>
      </c>
      <c r="I36" s="1">
        <v>45092</v>
      </c>
    </row>
    <row r="37" spans="1:9" x14ac:dyDescent="0.25">
      <c r="A37" t="s">
        <v>104</v>
      </c>
      <c r="B37" t="s">
        <v>105</v>
      </c>
      <c r="C37" t="str">
        <f>IF(COUNTIF(Farmers!A:A,Raw_coffee_shipments!B37)=0,"Missing Data","OK")</f>
        <v>OK</v>
      </c>
      <c r="D37" t="str">
        <f>VLOOKUP(B37,Farmers!$A$1:$B$51,2,FALSE)</f>
        <v>Brazil</v>
      </c>
      <c r="E37" s="10">
        <v>2019</v>
      </c>
      <c r="F37" t="str">
        <f t="shared" si="0"/>
        <v>Provided</v>
      </c>
      <c r="G37" s="12">
        <v>1949.4</v>
      </c>
      <c r="H37" t="s">
        <v>9</v>
      </c>
      <c r="I37" s="1">
        <v>45047</v>
      </c>
    </row>
    <row r="38" spans="1:9" x14ac:dyDescent="0.25">
      <c r="A38" t="s">
        <v>107</v>
      </c>
      <c r="B38" t="s">
        <v>105</v>
      </c>
      <c r="C38" t="str">
        <f>IF(COUNTIF(Farmers!A:A,Raw_coffee_shipments!B38)=0,"Missing Data","OK")</f>
        <v>OK</v>
      </c>
      <c r="D38" t="str">
        <f>VLOOKUP(B38,Farmers!$A$1:$B$51,2,FALSE)</f>
        <v>Brazil</v>
      </c>
      <c r="E38" s="10">
        <v>2022</v>
      </c>
      <c r="F38" t="str">
        <f t="shared" si="0"/>
        <v>Provided</v>
      </c>
      <c r="G38" s="12">
        <v>1752.1</v>
      </c>
      <c r="H38" t="s">
        <v>13</v>
      </c>
      <c r="I38" s="1">
        <v>45047</v>
      </c>
    </row>
    <row r="39" spans="1:9" x14ac:dyDescent="0.25">
      <c r="A39" t="s">
        <v>109</v>
      </c>
      <c r="B39" t="s">
        <v>71</v>
      </c>
      <c r="C39" t="str">
        <f>IF(COUNTIF(Farmers!A:A,Raw_coffee_shipments!B39)=0,"Missing Data","OK")</f>
        <v>OK</v>
      </c>
      <c r="D39" t="str">
        <f>VLOOKUP(B39,Farmers!$A$1:$B$51,2,FALSE)</f>
        <v>Brazil</v>
      </c>
      <c r="E39" s="10">
        <v>2021</v>
      </c>
      <c r="F39" t="str">
        <f t="shared" si="0"/>
        <v>Provided</v>
      </c>
      <c r="G39" s="12">
        <v>1513.3</v>
      </c>
      <c r="H39" t="s">
        <v>9</v>
      </c>
      <c r="I39" s="1" t="s">
        <v>254</v>
      </c>
    </row>
    <row r="40" spans="1:9" x14ac:dyDescent="0.25">
      <c r="A40" t="s">
        <v>111</v>
      </c>
      <c r="B40" t="s">
        <v>54</v>
      </c>
      <c r="C40" t="str">
        <f>IF(COUNTIF(Farmers!A:A,Raw_coffee_shipments!B40)=0,"Missing Data","OK")</f>
        <v>OK</v>
      </c>
      <c r="D40" t="str">
        <f>VLOOKUP(B40,Farmers!$A$1:$B$51,2,FALSE)</f>
        <v>Ethiopia</v>
      </c>
      <c r="E40" s="10">
        <v>2019</v>
      </c>
      <c r="F40" t="str">
        <f t="shared" si="0"/>
        <v>Provided</v>
      </c>
      <c r="G40" s="12">
        <v>156</v>
      </c>
      <c r="H40" t="s">
        <v>9</v>
      </c>
      <c r="I40" s="1" t="s">
        <v>254</v>
      </c>
    </row>
    <row r="41" spans="1:9" x14ac:dyDescent="0.25">
      <c r="A41" t="s">
        <v>113</v>
      </c>
      <c r="B41" t="s">
        <v>7</v>
      </c>
      <c r="C41" t="str">
        <f>IF(COUNTIF(Farmers!A:A,Raw_coffee_shipments!B41)=0,"Missing Data","OK")</f>
        <v>OK</v>
      </c>
      <c r="D41" t="str">
        <f>VLOOKUP(B41,Farmers!$A$1:$B$51,2,FALSE)</f>
        <v>Ethiopia</v>
      </c>
      <c r="E41" s="10">
        <v>2023</v>
      </c>
      <c r="F41" t="str">
        <f t="shared" si="0"/>
        <v>Provided</v>
      </c>
      <c r="G41" s="12">
        <v>698.6</v>
      </c>
      <c r="H41" t="s">
        <v>254</v>
      </c>
      <c r="I41" s="1">
        <v>45092</v>
      </c>
    </row>
    <row r="42" spans="1:9" x14ac:dyDescent="0.25">
      <c r="A42" t="s">
        <v>115</v>
      </c>
      <c r="B42" t="s">
        <v>22</v>
      </c>
      <c r="C42" t="str">
        <f>IF(COUNTIF(Farmers!A:A,Raw_coffee_shipments!B42)=0,"Missing Data","OK")</f>
        <v>OK</v>
      </c>
      <c r="D42" t="str">
        <f>VLOOKUP(B42,Farmers!$A$1:$B$51,2,FALSE)</f>
        <v>Colombia</v>
      </c>
      <c r="E42" s="10">
        <v>2022</v>
      </c>
      <c r="F42" t="str">
        <f t="shared" si="0"/>
        <v>Provided</v>
      </c>
      <c r="G42" s="12">
        <v>1388.2</v>
      </c>
      <c r="H42" t="s">
        <v>13</v>
      </c>
      <c r="I42" s="1">
        <v>45092</v>
      </c>
    </row>
    <row r="43" spans="1:9" x14ac:dyDescent="0.25">
      <c r="A43" t="s">
        <v>117</v>
      </c>
      <c r="B43" t="s">
        <v>118</v>
      </c>
      <c r="C43" t="str">
        <f>IF(COUNTIF(Farmers!A:A,Raw_coffee_shipments!B43)=0,"Missing Data","OK")</f>
        <v>OK</v>
      </c>
      <c r="D43" t="str">
        <f>VLOOKUP(B43,Farmers!$A$1:$B$51,2,FALSE)</f>
        <v>Ethiopia</v>
      </c>
      <c r="E43" s="10">
        <v>2020</v>
      </c>
      <c r="F43" t="str">
        <f t="shared" si="0"/>
        <v>Provided</v>
      </c>
      <c r="G43" s="12">
        <v>825.9</v>
      </c>
      <c r="H43" t="s">
        <v>13</v>
      </c>
      <c r="I43" s="1">
        <v>45092</v>
      </c>
    </row>
    <row r="44" spans="1:9" x14ac:dyDescent="0.25">
      <c r="A44" t="s">
        <v>120</v>
      </c>
      <c r="B44" t="s">
        <v>121</v>
      </c>
      <c r="C44" t="str">
        <f>IF(COUNTIF(Farmers!A:A,Raw_coffee_shipments!B44)=0,"Missing Data","OK")</f>
        <v>OK</v>
      </c>
      <c r="D44" t="str">
        <f>VLOOKUP(B44,Farmers!$A$1:$B$51,2,FALSE)</f>
        <v>Unknown</v>
      </c>
      <c r="E44" s="10">
        <v>2019</v>
      </c>
      <c r="F44" t="str">
        <f t="shared" si="0"/>
        <v>Provided</v>
      </c>
      <c r="G44" s="12">
        <v>1418.1</v>
      </c>
      <c r="H44" t="s">
        <v>9</v>
      </c>
      <c r="I44" s="1">
        <v>45047</v>
      </c>
    </row>
    <row r="45" spans="1:9" x14ac:dyDescent="0.25">
      <c r="A45" t="s">
        <v>123</v>
      </c>
      <c r="B45" t="s">
        <v>124</v>
      </c>
      <c r="C45" t="str">
        <f>IF(COUNTIF(Farmers!A:A,Raw_coffee_shipments!B45)=0,"Missing Data","OK")</f>
        <v>OK</v>
      </c>
      <c r="D45" t="str">
        <f>VLOOKUP(B45,Farmers!$A$1:$B$51,2,FALSE)</f>
        <v>Colombia</v>
      </c>
      <c r="E45" s="10">
        <v>2020</v>
      </c>
      <c r="F45" t="str">
        <f t="shared" si="0"/>
        <v>Provided</v>
      </c>
      <c r="G45" s="12">
        <v>229.8</v>
      </c>
      <c r="H45" t="s">
        <v>9</v>
      </c>
      <c r="I45" s="1">
        <v>45092</v>
      </c>
    </row>
    <row r="46" spans="1:9" x14ac:dyDescent="0.25">
      <c r="A46" t="s">
        <v>126</v>
      </c>
      <c r="B46" t="s">
        <v>105</v>
      </c>
      <c r="C46" t="str">
        <f>IF(COUNTIF(Farmers!A:A,Raw_coffee_shipments!B46)=0,"Missing Data","OK")</f>
        <v>OK</v>
      </c>
      <c r="D46" t="str">
        <f>VLOOKUP(B46,Farmers!$A$1:$B$51,2,FALSE)</f>
        <v>Brazil</v>
      </c>
      <c r="E46" s="10">
        <v>2022</v>
      </c>
      <c r="F46" t="str">
        <f t="shared" si="0"/>
        <v>Provided</v>
      </c>
      <c r="G46" s="12">
        <v>914.8</v>
      </c>
      <c r="H46" t="s">
        <v>17</v>
      </c>
      <c r="I46" s="1" t="s">
        <v>254</v>
      </c>
    </row>
    <row r="47" spans="1:9" x14ac:dyDescent="0.25">
      <c r="A47" t="s">
        <v>128</v>
      </c>
      <c r="B47" t="s">
        <v>89</v>
      </c>
      <c r="C47" t="str">
        <f>IF(COUNTIF(Farmers!A:A,Raw_coffee_shipments!B47)=0,"Missing Data","OK")</f>
        <v>OK</v>
      </c>
      <c r="D47" t="str">
        <f>VLOOKUP(B47,Farmers!$A$1:$B$51,2,FALSE)</f>
        <v>Vietnam</v>
      </c>
      <c r="E47" s="10">
        <v>2022</v>
      </c>
      <c r="F47" t="str">
        <f t="shared" si="0"/>
        <v>Provided</v>
      </c>
      <c r="G47" s="12">
        <v>1569.8</v>
      </c>
      <c r="H47" t="s">
        <v>17</v>
      </c>
      <c r="I47" s="1" t="s">
        <v>254</v>
      </c>
    </row>
    <row r="48" spans="1:9" x14ac:dyDescent="0.25">
      <c r="A48" t="s">
        <v>130</v>
      </c>
      <c r="B48" t="s">
        <v>131</v>
      </c>
      <c r="C48" t="str">
        <f>IF(COUNTIF(Farmers!A:A,Raw_coffee_shipments!B48)=0,"Missing Data","OK")</f>
        <v>OK</v>
      </c>
      <c r="D48" t="str">
        <f>VLOOKUP(B48,Farmers!$A$1:$B$51,2,FALSE)</f>
        <v>Brazil</v>
      </c>
      <c r="E48" s="10">
        <v>2020</v>
      </c>
      <c r="F48" t="str">
        <f t="shared" si="0"/>
        <v>Provided</v>
      </c>
      <c r="G48" s="12">
        <v>1385.8</v>
      </c>
      <c r="H48" t="s">
        <v>9</v>
      </c>
      <c r="I48" s="1">
        <v>45047</v>
      </c>
    </row>
    <row r="49" spans="1:9" x14ac:dyDescent="0.25">
      <c r="A49" t="s">
        <v>133</v>
      </c>
      <c r="B49" t="s">
        <v>43</v>
      </c>
      <c r="C49" t="str">
        <f>IF(COUNTIF(Farmers!A:A,Raw_coffee_shipments!B49)=0,"Missing Data","OK")</f>
        <v>OK</v>
      </c>
      <c r="D49" t="str">
        <f>VLOOKUP(B49,Farmers!$A$1:$B$51,2,FALSE)</f>
        <v>Colombia</v>
      </c>
      <c r="E49" s="10">
        <v>2022</v>
      </c>
      <c r="F49" t="str">
        <f t="shared" si="0"/>
        <v>Provided</v>
      </c>
      <c r="G49" s="12">
        <v>638.79999999999995</v>
      </c>
      <c r="H49" t="s">
        <v>254</v>
      </c>
      <c r="I49" s="1" t="s">
        <v>254</v>
      </c>
    </row>
    <row r="50" spans="1:9" x14ac:dyDescent="0.25">
      <c r="A50" t="s">
        <v>135</v>
      </c>
      <c r="B50" t="s">
        <v>136</v>
      </c>
      <c r="C50" t="str">
        <f>IF(COUNTIF(Farmers!A:A,Raw_coffee_shipments!B50)=0,"Missing Data","OK")</f>
        <v>OK</v>
      </c>
      <c r="D50" t="str">
        <f>VLOOKUP(B50,Farmers!$A$1:$B$51,2,FALSE)</f>
        <v>Ethiopia</v>
      </c>
      <c r="E50" s="10">
        <v>2021</v>
      </c>
      <c r="F50" t="str">
        <f t="shared" si="0"/>
        <v>Provided</v>
      </c>
      <c r="G50" s="12">
        <v>857.4</v>
      </c>
      <c r="H50" t="s">
        <v>254</v>
      </c>
      <c r="I50" s="1" t="s">
        <v>254</v>
      </c>
    </row>
    <row r="51" spans="1:9" x14ac:dyDescent="0.25">
      <c r="A51" t="s">
        <v>138</v>
      </c>
      <c r="B51" t="s">
        <v>139</v>
      </c>
      <c r="C51" t="str">
        <f>IF(COUNTIF(Farmers!A:A,Raw_coffee_shipments!B51)=0,"Missing Data","OK")</f>
        <v>OK</v>
      </c>
      <c r="D51" t="str">
        <f>VLOOKUP(B51,Farmers!$A$1:$B$51,2,FALSE)</f>
        <v>Brazil</v>
      </c>
      <c r="E51" s="10">
        <v>2020</v>
      </c>
      <c r="F51" t="str">
        <f t="shared" si="0"/>
        <v>Provided</v>
      </c>
      <c r="G51" s="12">
        <v>1434.9</v>
      </c>
      <c r="H51" t="s">
        <v>13</v>
      </c>
      <c r="I51" s="1">
        <v>45047</v>
      </c>
    </row>
    <row r="52" spans="1:9" x14ac:dyDescent="0.25">
      <c r="A52" t="s">
        <v>141</v>
      </c>
      <c r="B52" t="s">
        <v>142</v>
      </c>
      <c r="C52" t="str">
        <f>IF(COUNTIF(Farmers!A:A,Raw_coffee_shipments!B52)=0,"Missing Data","OK")</f>
        <v>OK</v>
      </c>
      <c r="D52" t="str">
        <f>VLOOKUP(B52,Farmers!$A$1:$B$51,2,FALSE)</f>
        <v>Ethiopia</v>
      </c>
      <c r="E52" s="10">
        <v>2019</v>
      </c>
      <c r="F52" t="str">
        <f t="shared" si="0"/>
        <v>Provided</v>
      </c>
      <c r="G52" s="12">
        <v>848.1</v>
      </c>
      <c r="H52" t="s">
        <v>17</v>
      </c>
      <c r="I52" s="1">
        <v>45092</v>
      </c>
    </row>
    <row r="53" spans="1:9" x14ac:dyDescent="0.25">
      <c r="A53" t="s">
        <v>144</v>
      </c>
      <c r="B53" t="s">
        <v>34</v>
      </c>
      <c r="C53" t="str">
        <f>IF(COUNTIF(Farmers!A:A,Raw_coffee_shipments!B53)=0,"Missing Data","OK")</f>
        <v>OK</v>
      </c>
      <c r="D53" t="str">
        <f>VLOOKUP(B53,Farmers!$A$1:$B$51,2,FALSE)</f>
        <v>Ethiopia</v>
      </c>
      <c r="E53" s="10" t="s">
        <v>254</v>
      </c>
      <c r="F53" t="str">
        <f t="shared" si="0"/>
        <v>Provided</v>
      </c>
      <c r="G53" s="12">
        <v>1221.5</v>
      </c>
      <c r="H53" t="s">
        <v>17</v>
      </c>
      <c r="I53" s="1">
        <v>45047</v>
      </c>
    </row>
    <row r="54" spans="1:9" x14ac:dyDescent="0.25">
      <c r="A54" t="s">
        <v>146</v>
      </c>
      <c r="B54" t="s">
        <v>131</v>
      </c>
      <c r="C54" t="str">
        <f>IF(COUNTIF(Farmers!A:A,Raw_coffee_shipments!B54)=0,"Missing Data","OK")</f>
        <v>OK</v>
      </c>
      <c r="D54" t="str">
        <f>VLOOKUP(B54,Farmers!$A$1:$B$51,2,FALSE)</f>
        <v>Brazil</v>
      </c>
      <c r="E54" s="10">
        <v>2019</v>
      </c>
      <c r="F54" t="str">
        <f t="shared" si="0"/>
        <v>Provided</v>
      </c>
      <c r="G54" s="12">
        <v>1052.8</v>
      </c>
      <c r="H54" t="s">
        <v>13</v>
      </c>
      <c r="I54" s="1">
        <v>45092</v>
      </c>
    </row>
    <row r="55" spans="1:9" x14ac:dyDescent="0.25">
      <c r="A55" t="s">
        <v>148</v>
      </c>
      <c r="B55" t="s">
        <v>28</v>
      </c>
      <c r="C55" t="str">
        <f>IF(COUNTIF(Farmers!A:A,Raw_coffee_shipments!B55)=0,"Missing Data","OK")</f>
        <v>OK</v>
      </c>
      <c r="D55" t="str">
        <f>VLOOKUP(B55,Farmers!$A$1:$B$51,2,FALSE)</f>
        <v>Brazil</v>
      </c>
      <c r="E55" s="10">
        <v>2023</v>
      </c>
      <c r="F55" t="str">
        <f t="shared" si="0"/>
        <v>Provided</v>
      </c>
      <c r="G55" s="12">
        <v>1948.5</v>
      </c>
      <c r="H55" t="s">
        <v>13</v>
      </c>
      <c r="I55" s="1">
        <v>45092</v>
      </c>
    </row>
    <row r="56" spans="1:9" x14ac:dyDescent="0.25">
      <c r="A56" t="s">
        <v>150</v>
      </c>
      <c r="B56" t="s">
        <v>151</v>
      </c>
      <c r="C56" t="str">
        <f>IF(COUNTIF(Farmers!A:A,Raw_coffee_shipments!B56)=0,"Missing Data","OK")</f>
        <v>OK</v>
      </c>
      <c r="D56" t="str">
        <f>VLOOKUP(B56,Farmers!$A$1:$B$51,2,FALSE)</f>
        <v>Brazil</v>
      </c>
      <c r="E56" s="10">
        <v>2019</v>
      </c>
      <c r="F56" t="str">
        <f t="shared" si="0"/>
        <v>Provided</v>
      </c>
      <c r="G56" s="12">
        <v>724.7</v>
      </c>
      <c r="H56" t="s">
        <v>254</v>
      </c>
      <c r="I56" s="1" t="s">
        <v>254</v>
      </c>
    </row>
    <row r="57" spans="1:9" x14ac:dyDescent="0.25">
      <c r="A57" t="s">
        <v>153</v>
      </c>
      <c r="B57" t="s">
        <v>139</v>
      </c>
      <c r="C57" t="str">
        <f>IF(COUNTIF(Farmers!A:A,Raw_coffee_shipments!B57)=0,"Missing Data","OK")</f>
        <v>OK</v>
      </c>
      <c r="D57" t="str">
        <f>VLOOKUP(B57,Farmers!$A$1:$B$51,2,FALSE)</f>
        <v>Brazil</v>
      </c>
      <c r="E57" s="10">
        <v>2023</v>
      </c>
      <c r="F57" t="str">
        <f t="shared" si="0"/>
        <v>Provided</v>
      </c>
      <c r="G57" s="12">
        <v>1369.1</v>
      </c>
      <c r="H57" t="s">
        <v>17</v>
      </c>
      <c r="I57" s="1">
        <v>45047</v>
      </c>
    </row>
    <row r="58" spans="1:9" x14ac:dyDescent="0.25">
      <c r="A58" t="s">
        <v>155</v>
      </c>
      <c r="B58" t="s">
        <v>71</v>
      </c>
      <c r="C58" t="str">
        <f>IF(COUNTIF(Farmers!A:A,Raw_coffee_shipments!B58)=0,"Missing Data","OK")</f>
        <v>OK</v>
      </c>
      <c r="D58" t="str">
        <f>VLOOKUP(B58,Farmers!$A$1:$B$51,2,FALSE)</f>
        <v>Brazil</v>
      </c>
      <c r="E58" s="10">
        <v>2020</v>
      </c>
      <c r="F58" t="str">
        <f t="shared" si="0"/>
        <v>Provided</v>
      </c>
      <c r="G58" s="12">
        <v>831.1</v>
      </c>
      <c r="H58" t="s">
        <v>13</v>
      </c>
      <c r="I58" s="1">
        <v>45092</v>
      </c>
    </row>
    <row r="59" spans="1:9" x14ac:dyDescent="0.25">
      <c r="A59" t="s">
        <v>157</v>
      </c>
      <c r="B59" t="s">
        <v>22</v>
      </c>
      <c r="C59" t="str">
        <f>IF(COUNTIF(Farmers!A:A,Raw_coffee_shipments!B59)=0,"Missing Data","OK")</f>
        <v>OK</v>
      </c>
      <c r="D59" t="str">
        <f>VLOOKUP(B59,Farmers!$A$1:$B$51,2,FALSE)</f>
        <v>Colombia</v>
      </c>
      <c r="E59" s="10">
        <v>2020</v>
      </c>
      <c r="F59" t="str">
        <f t="shared" si="0"/>
        <v>Provided</v>
      </c>
      <c r="G59" s="12">
        <v>328.5</v>
      </c>
      <c r="H59" t="s">
        <v>254</v>
      </c>
      <c r="I59" s="1">
        <v>45047</v>
      </c>
    </row>
    <row r="60" spans="1:9" x14ac:dyDescent="0.25">
      <c r="A60" t="s">
        <v>159</v>
      </c>
      <c r="B60" t="s">
        <v>118</v>
      </c>
      <c r="C60" t="str">
        <f>IF(COUNTIF(Farmers!A:A,Raw_coffee_shipments!B60)=0,"Missing Data","OK")</f>
        <v>OK</v>
      </c>
      <c r="D60" t="str">
        <f>VLOOKUP(B60,Farmers!$A$1:$B$51,2,FALSE)</f>
        <v>Ethiopia</v>
      </c>
      <c r="E60" s="10">
        <v>2020</v>
      </c>
      <c r="F60" t="str">
        <f t="shared" si="0"/>
        <v>Provided</v>
      </c>
      <c r="G60" s="12">
        <v>108.4</v>
      </c>
      <c r="H60" t="s">
        <v>9</v>
      </c>
      <c r="I60" s="1">
        <v>45047</v>
      </c>
    </row>
    <row r="61" spans="1:9" x14ac:dyDescent="0.25">
      <c r="A61" t="s">
        <v>161</v>
      </c>
      <c r="B61" t="s">
        <v>31</v>
      </c>
      <c r="C61" t="str">
        <f>IF(COUNTIF(Farmers!A:A,Raw_coffee_shipments!B61)=0,"Missing Data","OK")</f>
        <v>OK</v>
      </c>
      <c r="D61" t="str">
        <f>VLOOKUP(B61,Farmers!$A$1:$B$51,2,FALSE)</f>
        <v>Ethiopia</v>
      </c>
      <c r="E61" s="10" t="s">
        <v>254</v>
      </c>
      <c r="F61" t="str">
        <f t="shared" si="0"/>
        <v>Provided</v>
      </c>
      <c r="G61" s="12">
        <v>1611.4</v>
      </c>
      <c r="H61" t="s">
        <v>9</v>
      </c>
      <c r="I61" s="1" t="s">
        <v>254</v>
      </c>
    </row>
    <row r="62" spans="1:9" x14ac:dyDescent="0.25">
      <c r="A62" t="s">
        <v>163</v>
      </c>
      <c r="B62" t="s">
        <v>164</v>
      </c>
      <c r="C62" t="str">
        <f>IF(COUNTIF(Farmers!A:A,Raw_coffee_shipments!B62)=0,"Missing Data","OK")</f>
        <v>OK</v>
      </c>
      <c r="D62" t="str">
        <f>VLOOKUP(B62,Farmers!$A$1:$B$51,2,FALSE)</f>
        <v>Vietnam</v>
      </c>
      <c r="E62" s="10">
        <v>2022</v>
      </c>
      <c r="F62" t="str">
        <f t="shared" si="0"/>
        <v>Provided</v>
      </c>
      <c r="G62" s="12">
        <v>877.3</v>
      </c>
      <c r="H62" t="s">
        <v>17</v>
      </c>
      <c r="I62" s="1">
        <v>45047</v>
      </c>
    </row>
    <row r="63" spans="1:9" x14ac:dyDescent="0.25">
      <c r="A63" t="s">
        <v>166</v>
      </c>
      <c r="B63" t="s">
        <v>15</v>
      </c>
      <c r="C63" t="str">
        <f>IF(COUNTIF(Farmers!A:A,Raw_coffee_shipments!B63)=0,"Missing Data","OK")</f>
        <v>OK</v>
      </c>
      <c r="D63" t="str">
        <f>VLOOKUP(B63,Farmers!$A$1:$B$51,2,FALSE)</f>
        <v>Unknown</v>
      </c>
      <c r="E63" s="10">
        <v>2021</v>
      </c>
      <c r="F63" t="str">
        <f t="shared" si="0"/>
        <v>Provided</v>
      </c>
      <c r="G63" s="12">
        <v>1315</v>
      </c>
      <c r="H63" t="s">
        <v>9</v>
      </c>
      <c r="I63" s="1" t="s">
        <v>254</v>
      </c>
    </row>
    <row r="64" spans="1:9" x14ac:dyDescent="0.25">
      <c r="A64" t="s">
        <v>168</v>
      </c>
      <c r="B64" t="s">
        <v>164</v>
      </c>
      <c r="C64" t="str">
        <f>IF(COUNTIF(Farmers!A:A,Raw_coffee_shipments!B64)=0,"Missing Data","OK")</f>
        <v>OK</v>
      </c>
      <c r="D64" t="str">
        <f>VLOOKUP(B64,Farmers!$A$1:$B$51,2,FALSE)</f>
        <v>Vietnam</v>
      </c>
      <c r="E64" s="10" t="s">
        <v>254</v>
      </c>
      <c r="F64" t="str">
        <f t="shared" si="0"/>
        <v>Provided</v>
      </c>
      <c r="G64" s="12">
        <v>619.29999999999995</v>
      </c>
      <c r="H64" t="s">
        <v>254</v>
      </c>
      <c r="I64" s="1">
        <v>45092</v>
      </c>
    </row>
    <row r="65" spans="1:9" x14ac:dyDescent="0.25">
      <c r="A65" t="s">
        <v>170</v>
      </c>
      <c r="B65" t="s">
        <v>118</v>
      </c>
      <c r="C65" t="str">
        <f>IF(COUNTIF(Farmers!A:A,Raw_coffee_shipments!B65)=0,"Missing Data","OK")</f>
        <v>OK</v>
      </c>
      <c r="D65" t="str">
        <f>VLOOKUP(B65,Farmers!$A$1:$B$51,2,FALSE)</f>
        <v>Ethiopia</v>
      </c>
      <c r="E65" s="10">
        <v>2019</v>
      </c>
      <c r="F65" t="str">
        <f t="shared" si="0"/>
        <v>Provided</v>
      </c>
      <c r="G65" s="12">
        <v>359.9</v>
      </c>
      <c r="H65" t="s">
        <v>9</v>
      </c>
      <c r="I65" s="1">
        <v>45092</v>
      </c>
    </row>
    <row r="66" spans="1:9" x14ac:dyDescent="0.25">
      <c r="A66" t="s">
        <v>172</v>
      </c>
      <c r="B66" t="s">
        <v>173</v>
      </c>
      <c r="C66" t="str">
        <f>IF(COUNTIF(Farmers!A:A,Raw_coffee_shipments!B66)=0,"Missing Data","OK")</f>
        <v>OK</v>
      </c>
      <c r="D66" t="str">
        <f>VLOOKUP(B66,Farmers!$A$1:$B$51,2,FALSE)</f>
        <v>Colombia</v>
      </c>
      <c r="E66" s="10" t="s">
        <v>254</v>
      </c>
      <c r="F66" t="str">
        <f t="shared" si="0"/>
        <v>Provided</v>
      </c>
      <c r="G66" s="12">
        <v>659.8</v>
      </c>
      <c r="H66" t="s">
        <v>17</v>
      </c>
      <c r="I66" s="1">
        <v>45047</v>
      </c>
    </row>
    <row r="67" spans="1:9" x14ac:dyDescent="0.25">
      <c r="A67" t="s">
        <v>175</v>
      </c>
      <c r="B67" t="s">
        <v>40</v>
      </c>
      <c r="C67" t="str">
        <f>IF(COUNTIF(Farmers!A:A,Raw_coffee_shipments!B67)=0,"Missing Data","OK")</f>
        <v>OK</v>
      </c>
      <c r="D67" t="str">
        <f>VLOOKUP(B67,Farmers!$A$1:$B$51,2,FALSE)</f>
        <v>Colombia</v>
      </c>
      <c r="E67" s="10">
        <v>2020</v>
      </c>
      <c r="F67" t="str">
        <f t="shared" ref="F67:F101" si="1">IF(E67="","Unknown","Provided")</f>
        <v>Provided</v>
      </c>
      <c r="G67" s="12">
        <v>1900.7</v>
      </c>
      <c r="H67" t="s">
        <v>17</v>
      </c>
      <c r="I67" s="1">
        <v>45047</v>
      </c>
    </row>
    <row r="68" spans="1:9" x14ac:dyDescent="0.25">
      <c r="A68" t="s">
        <v>177</v>
      </c>
      <c r="B68" t="s">
        <v>131</v>
      </c>
      <c r="C68" t="str">
        <f>IF(COUNTIF(Farmers!A:A,Raw_coffee_shipments!B68)=0,"Missing Data","OK")</f>
        <v>OK</v>
      </c>
      <c r="D68" t="str">
        <f>VLOOKUP(B68,Farmers!$A$1:$B$51,2,FALSE)</f>
        <v>Brazil</v>
      </c>
      <c r="E68" s="10">
        <v>2019</v>
      </c>
      <c r="F68" t="str">
        <f t="shared" si="1"/>
        <v>Provided</v>
      </c>
      <c r="G68" s="12">
        <v>979.8</v>
      </c>
      <c r="H68" t="s">
        <v>9</v>
      </c>
      <c r="I68" s="1">
        <v>45047</v>
      </c>
    </row>
    <row r="69" spans="1:9" x14ac:dyDescent="0.25">
      <c r="A69" t="s">
        <v>179</v>
      </c>
      <c r="B69" t="s">
        <v>180</v>
      </c>
      <c r="C69" t="str">
        <f>IF(COUNTIF(Farmers!A:A,Raw_coffee_shipments!B69)=0,"Missing Data","OK")</f>
        <v>OK</v>
      </c>
      <c r="D69" t="str">
        <f>VLOOKUP(B69,Farmers!$A$1:$B$51,2,FALSE)</f>
        <v>Brazil</v>
      </c>
      <c r="E69" s="10">
        <v>2020</v>
      </c>
      <c r="F69" t="str">
        <f t="shared" si="1"/>
        <v>Provided</v>
      </c>
      <c r="G69" s="12">
        <v>534.70000000000005</v>
      </c>
      <c r="H69" t="s">
        <v>13</v>
      </c>
      <c r="I69" s="1" t="s">
        <v>254</v>
      </c>
    </row>
    <row r="70" spans="1:9" x14ac:dyDescent="0.25">
      <c r="A70" t="s">
        <v>182</v>
      </c>
      <c r="B70" t="s">
        <v>51</v>
      </c>
      <c r="C70" t="str">
        <f>IF(COUNTIF(Farmers!A:A,Raw_coffee_shipments!B70)=0,"Missing Data","OK")</f>
        <v>OK</v>
      </c>
      <c r="D70" t="str">
        <f>VLOOKUP(B70,Farmers!$A$1:$B$51,2,FALSE)</f>
        <v>Ethiopia</v>
      </c>
      <c r="E70" s="10" t="s">
        <v>254</v>
      </c>
      <c r="F70" t="str">
        <f t="shared" si="1"/>
        <v>Provided</v>
      </c>
      <c r="G70" s="12">
        <v>502.6</v>
      </c>
      <c r="H70" t="s">
        <v>17</v>
      </c>
      <c r="I70" s="1">
        <v>45047</v>
      </c>
    </row>
    <row r="71" spans="1:9" x14ac:dyDescent="0.25">
      <c r="A71" t="s">
        <v>184</v>
      </c>
      <c r="B71" t="s">
        <v>185</v>
      </c>
      <c r="C71" t="str">
        <f>IF(COUNTIF(Farmers!A:A,Raw_coffee_shipments!B71)=0,"Missing Data","OK")</f>
        <v>OK</v>
      </c>
      <c r="D71" t="str">
        <f>VLOOKUP(B71,Farmers!$A$1:$B$51,2,FALSE)</f>
        <v>Brazil</v>
      </c>
      <c r="E71" s="10">
        <v>2021</v>
      </c>
      <c r="F71" t="str">
        <f t="shared" si="1"/>
        <v>Provided</v>
      </c>
      <c r="G71" s="12">
        <v>365.2</v>
      </c>
      <c r="H71" t="s">
        <v>9</v>
      </c>
      <c r="I71" s="1">
        <v>45092</v>
      </c>
    </row>
    <row r="72" spans="1:9" x14ac:dyDescent="0.25">
      <c r="A72" t="s">
        <v>187</v>
      </c>
      <c r="B72" t="s">
        <v>71</v>
      </c>
      <c r="C72" t="str">
        <f>IF(COUNTIF(Farmers!A:A,Raw_coffee_shipments!B72)=0,"Missing Data","OK")</f>
        <v>OK</v>
      </c>
      <c r="D72" t="str">
        <f>VLOOKUP(B72,Farmers!$A$1:$B$51,2,FALSE)</f>
        <v>Brazil</v>
      </c>
      <c r="E72" s="10">
        <v>2020</v>
      </c>
      <c r="F72" t="str">
        <f t="shared" si="1"/>
        <v>Provided</v>
      </c>
      <c r="G72" s="12">
        <v>1562.9</v>
      </c>
      <c r="H72" t="s">
        <v>13</v>
      </c>
      <c r="I72" s="1" t="s">
        <v>254</v>
      </c>
    </row>
    <row r="73" spans="1:9" x14ac:dyDescent="0.25">
      <c r="A73" t="s">
        <v>189</v>
      </c>
      <c r="B73" t="s">
        <v>118</v>
      </c>
      <c r="C73" t="str">
        <f>IF(COUNTIF(Farmers!A:A,Raw_coffee_shipments!B73)=0,"Missing Data","OK")</f>
        <v>OK</v>
      </c>
      <c r="D73" t="str">
        <f>VLOOKUP(B73,Farmers!$A$1:$B$51,2,FALSE)</f>
        <v>Ethiopia</v>
      </c>
      <c r="E73" s="10">
        <v>2020</v>
      </c>
      <c r="F73" t="str">
        <f t="shared" si="1"/>
        <v>Provided</v>
      </c>
      <c r="G73" s="12">
        <v>585.4</v>
      </c>
      <c r="H73" t="s">
        <v>254</v>
      </c>
      <c r="I73" s="1">
        <v>45092</v>
      </c>
    </row>
    <row r="74" spans="1:9" x14ac:dyDescent="0.25">
      <c r="A74" t="s">
        <v>191</v>
      </c>
      <c r="B74" t="s">
        <v>192</v>
      </c>
      <c r="C74" t="str">
        <f>IF(COUNTIF(Farmers!A:A,Raw_coffee_shipments!B74)=0,"Missing Data","OK")</f>
        <v>OK</v>
      </c>
      <c r="D74" t="str">
        <f>VLOOKUP(B74,Farmers!$A$1:$B$51,2,FALSE)</f>
        <v>Unknown</v>
      </c>
      <c r="E74" s="10">
        <v>2022</v>
      </c>
      <c r="F74" t="str">
        <f t="shared" si="1"/>
        <v>Provided</v>
      </c>
      <c r="G74" s="12">
        <v>1988.3</v>
      </c>
      <c r="H74" t="s">
        <v>254</v>
      </c>
      <c r="I74" s="1">
        <v>45092</v>
      </c>
    </row>
    <row r="75" spans="1:9" x14ac:dyDescent="0.25">
      <c r="A75" t="s">
        <v>194</v>
      </c>
      <c r="B75" t="s">
        <v>195</v>
      </c>
      <c r="C75" t="str">
        <f>IF(COUNTIF(Farmers!A:A,Raw_coffee_shipments!B75)=0,"Missing Data","OK")</f>
        <v>OK</v>
      </c>
      <c r="D75" t="str">
        <f>VLOOKUP(B75,Farmers!$A$1:$B$51,2,FALSE)</f>
        <v>Colombia</v>
      </c>
      <c r="E75" s="10">
        <v>2019</v>
      </c>
      <c r="F75" t="str">
        <f t="shared" si="1"/>
        <v>Provided</v>
      </c>
      <c r="G75" s="12">
        <v>223.7</v>
      </c>
      <c r="H75" t="s">
        <v>9</v>
      </c>
      <c r="I75" s="1" t="s">
        <v>254</v>
      </c>
    </row>
    <row r="76" spans="1:9" x14ac:dyDescent="0.25">
      <c r="A76" t="s">
        <v>197</v>
      </c>
      <c r="B76" t="s">
        <v>198</v>
      </c>
      <c r="C76" t="str">
        <f>IF(COUNTIF(Farmers!A:A,Raw_coffee_shipments!B76)=0,"Missing Data","OK")</f>
        <v>OK</v>
      </c>
      <c r="D76" t="str">
        <f>VLOOKUP(B76,Farmers!$A$1:$B$51,2,FALSE)</f>
        <v>Brazil</v>
      </c>
      <c r="E76" s="10">
        <v>2020</v>
      </c>
      <c r="F76" t="str">
        <f t="shared" si="1"/>
        <v>Provided</v>
      </c>
      <c r="G76" s="12">
        <v>460.5</v>
      </c>
      <c r="H76" t="s">
        <v>9</v>
      </c>
      <c r="I76" s="1" t="s">
        <v>254</v>
      </c>
    </row>
    <row r="77" spans="1:9" x14ac:dyDescent="0.25">
      <c r="A77" t="s">
        <v>200</v>
      </c>
      <c r="B77" t="s">
        <v>180</v>
      </c>
      <c r="C77" t="str">
        <f>IF(COUNTIF(Farmers!A:A,Raw_coffee_shipments!B77)=0,"Missing Data","OK")</f>
        <v>OK</v>
      </c>
      <c r="D77" t="str">
        <f>VLOOKUP(B77,Farmers!$A$1:$B$51,2,FALSE)</f>
        <v>Brazil</v>
      </c>
      <c r="E77" s="10">
        <v>2021</v>
      </c>
      <c r="F77" t="str">
        <f t="shared" si="1"/>
        <v>Provided</v>
      </c>
      <c r="G77" s="12">
        <v>1059.9000000000001</v>
      </c>
      <c r="H77" t="s">
        <v>254</v>
      </c>
      <c r="I77" s="1">
        <v>45047</v>
      </c>
    </row>
    <row r="78" spans="1:9" x14ac:dyDescent="0.25">
      <c r="A78" t="s">
        <v>202</v>
      </c>
      <c r="B78" t="s">
        <v>43</v>
      </c>
      <c r="C78" t="str">
        <f>IF(COUNTIF(Farmers!A:A,Raw_coffee_shipments!B78)=0,"Missing Data","OK")</f>
        <v>OK</v>
      </c>
      <c r="D78" t="str">
        <f>VLOOKUP(B78,Farmers!$A$1:$B$51,2,FALSE)</f>
        <v>Colombia</v>
      </c>
      <c r="E78" s="10">
        <v>2022</v>
      </c>
      <c r="F78" t="str">
        <f t="shared" si="1"/>
        <v>Provided</v>
      </c>
      <c r="G78" s="12">
        <v>495.5</v>
      </c>
      <c r="H78" t="s">
        <v>13</v>
      </c>
      <c r="I78" s="1">
        <v>45092</v>
      </c>
    </row>
    <row r="79" spans="1:9" x14ac:dyDescent="0.25">
      <c r="A79" t="s">
        <v>204</v>
      </c>
      <c r="B79" t="s">
        <v>205</v>
      </c>
      <c r="C79" t="str">
        <f>IF(COUNTIF(Farmers!A:A,Raw_coffee_shipments!B79)=0,"Missing Data","OK")</f>
        <v>OK</v>
      </c>
      <c r="D79" t="str">
        <f>VLOOKUP(B79,Farmers!$A$1:$B$51,2,FALSE)</f>
        <v>Brazil</v>
      </c>
      <c r="E79" s="10" t="s">
        <v>254</v>
      </c>
      <c r="F79" t="str">
        <f t="shared" si="1"/>
        <v>Provided</v>
      </c>
      <c r="G79" s="12">
        <v>1557.6</v>
      </c>
      <c r="H79" t="s">
        <v>254</v>
      </c>
      <c r="I79" s="1">
        <v>45047</v>
      </c>
    </row>
    <row r="80" spans="1:9" x14ac:dyDescent="0.25">
      <c r="A80" t="s">
        <v>207</v>
      </c>
      <c r="B80" t="s">
        <v>43</v>
      </c>
      <c r="C80" t="str">
        <f>IF(COUNTIF(Farmers!A:A,Raw_coffee_shipments!B80)=0,"Missing Data","OK")</f>
        <v>OK</v>
      </c>
      <c r="D80" t="str">
        <f>VLOOKUP(B80,Farmers!$A$1:$B$51,2,FALSE)</f>
        <v>Colombia</v>
      </c>
      <c r="E80" s="10">
        <v>2019</v>
      </c>
      <c r="F80" t="str">
        <f t="shared" si="1"/>
        <v>Provided</v>
      </c>
      <c r="G80" s="12">
        <v>342.3</v>
      </c>
      <c r="H80" t="s">
        <v>17</v>
      </c>
      <c r="I80" s="1">
        <v>45047</v>
      </c>
    </row>
    <row r="81" spans="1:9" x14ac:dyDescent="0.25">
      <c r="A81" t="s">
        <v>209</v>
      </c>
      <c r="B81" t="s">
        <v>54</v>
      </c>
      <c r="C81" t="str">
        <f>IF(COUNTIF(Farmers!A:A,Raw_coffee_shipments!B81)=0,"Missing Data","OK")</f>
        <v>OK</v>
      </c>
      <c r="D81" t="str">
        <f>VLOOKUP(B81,Farmers!$A$1:$B$51,2,FALSE)</f>
        <v>Ethiopia</v>
      </c>
      <c r="E81" s="10">
        <v>2019</v>
      </c>
      <c r="F81" t="str">
        <f t="shared" si="1"/>
        <v>Provided</v>
      </c>
      <c r="G81" s="12">
        <v>1102.3</v>
      </c>
      <c r="H81" t="s">
        <v>17</v>
      </c>
      <c r="I81" s="1">
        <v>45047</v>
      </c>
    </row>
    <row r="82" spans="1:9" x14ac:dyDescent="0.25">
      <c r="A82" t="s">
        <v>211</v>
      </c>
      <c r="B82" t="s">
        <v>212</v>
      </c>
      <c r="C82" t="str">
        <f>IF(COUNTIF(Farmers!A:A,Raw_coffee_shipments!B82)=0,"Missing Data","OK")</f>
        <v>OK</v>
      </c>
      <c r="D82" t="str">
        <f>VLOOKUP(B82,Farmers!$A$1:$B$51,2,FALSE)</f>
        <v>Colombia</v>
      </c>
      <c r="E82" s="10">
        <v>2020</v>
      </c>
      <c r="F82" t="str">
        <f t="shared" si="1"/>
        <v>Provided</v>
      </c>
      <c r="G82" s="12">
        <v>226.9</v>
      </c>
      <c r="H82" t="s">
        <v>9</v>
      </c>
      <c r="I82" s="1">
        <v>45092</v>
      </c>
    </row>
    <row r="83" spans="1:9" x14ac:dyDescent="0.25">
      <c r="A83" t="s">
        <v>214</v>
      </c>
      <c r="B83" t="s">
        <v>139</v>
      </c>
      <c r="C83" t="str">
        <f>IF(COUNTIF(Farmers!A:A,Raw_coffee_shipments!B83)=0,"Missing Data","OK")</f>
        <v>OK</v>
      </c>
      <c r="D83" t="str">
        <f>VLOOKUP(B83,Farmers!$A$1:$B$51,2,FALSE)</f>
        <v>Brazil</v>
      </c>
      <c r="E83" s="10">
        <v>2022</v>
      </c>
      <c r="F83" t="str">
        <f t="shared" si="1"/>
        <v>Provided</v>
      </c>
      <c r="G83" s="12">
        <v>145.80000000000001</v>
      </c>
      <c r="H83" t="s">
        <v>254</v>
      </c>
      <c r="I83" s="1">
        <v>45092</v>
      </c>
    </row>
    <row r="84" spans="1:9" x14ac:dyDescent="0.25">
      <c r="A84" t="s">
        <v>216</v>
      </c>
      <c r="B84" t="s">
        <v>46</v>
      </c>
      <c r="C84" t="str">
        <f>IF(COUNTIF(Farmers!A:A,Raw_coffee_shipments!B84)=0,"Missing Data","OK")</f>
        <v>OK</v>
      </c>
      <c r="D84" t="str">
        <f>VLOOKUP(B84,Farmers!$A$1:$B$51,2,FALSE)</f>
        <v>Vietnam</v>
      </c>
      <c r="E84" s="10">
        <v>2022</v>
      </c>
      <c r="F84" t="str">
        <f t="shared" si="1"/>
        <v>Provided</v>
      </c>
      <c r="G84" s="12">
        <v>1322.4</v>
      </c>
      <c r="H84" t="s">
        <v>254</v>
      </c>
      <c r="I84" s="1" t="s">
        <v>254</v>
      </c>
    </row>
    <row r="85" spans="1:9" x14ac:dyDescent="0.25">
      <c r="A85" t="s">
        <v>218</v>
      </c>
      <c r="B85" t="s">
        <v>54</v>
      </c>
      <c r="C85" t="str">
        <f>IF(COUNTIF(Farmers!A:A,Raw_coffee_shipments!B85)=0,"Missing Data","OK")</f>
        <v>OK</v>
      </c>
      <c r="D85" t="str">
        <f>VLOOKUP(B85,Farmers!$A$1:$B$51,2,FALSE)</f>
        <v>Ethiopia</v>
      </c>
      <c r="E85" s="10">
        <v>2022</v>
      </c>
      <c r="F85" t="str">
        <f t="shared" si="1"/>
        <v>Provided</v>
      </c>
      <c r="G85" s="12">
        <v>1705.2</v>
      </c>
      <c r="H85" t="s">
        <v>13</v>
      </c>
      <c r="I85" s="1">
        <v>45047</v>
      </c>
    </row>
    <row r="86" spans="1:9" x14ac:dyDescent="0.25">
      <c r="A86" t="s">
        <v>220</v>
      </c>
      <c r="B86" t="s">
        <v>139</v>
      </c>
      <c r="C86" t="str">
        <f>IF(COUNTIF(Farmers!A:A,Raw_coffee_shipments!B86)=0,"Missing Data","OK")</f>
        <v>OK</v>
      </c>
      <c r="D86" t="str">
        <f>VLOOKUP(B86,Farmers!$A$1:$B$51,2,FALSE)</f>
        <v>Brazil</v>
      </c>
      <c r="E86" s="10">
        <v>2023</v>
      </c>
      <c r="F86" t="str">
        <f t="shared" si="1"/>
        <v>Provided</v>
      </c>
      <c r="G86" s="12">
        <v>1209.4000000000001</v>
      </c>
      <c r="H86" t="s">
        <v>17</v>
      </c>
      <c r="I86" s="1">
        <v>45047</v>
      </c>
    </row>
    <row r="87" spans="1:9" x14ac:dyDescent="0.25">
      <c r="A87" t="s">
        <v>222</v>
      </c>
      <c r="B87" t="s">
        <v>173</v>
      </c>
      <c r="C87" t="str">
        <f>IF(COUNTIF(Farmers!A:A,Raw_coffee_shipments!B87)=0,"Missing Data","OK")</f>
        <v>OK</v>
      </c>
      <c r="D87" t="str">
        <f>VLOOKUP(B87,Farmers!$A$1:$B$51,2,FALSE)</f>
        <v>Colombia</v>
      </c>
      <c r="E87" s="10">
        <v>2023</v>
      </c>
      <c r="F87" t="str">
        <f t="shared" si="1"/>
        <v>Provided</v>
      </c>
      <c r="G87" s="12">
        <v>360.5</v>
      </c>
      <c r="H87" t="s">
        <v>9</v>
      </c>
      <c r="I87" s="1">
        <v>45047</v>
      </c>
    </row>
    <row r="88" spans="1:9" x14ac:dyDescent="0.25">
      <c r="A88" t="s">
        <v>224</v>
      </c>
      <c r="B88" t="s">
        <v>76</v>
      </c>
      <c r="C88" t="str">
        <f>IF(COUNTIF(Farmers!A:A,Raw_coffee_shipments!B88)=0,"Missing Data","OK")</f>
        <v>OK</v>
      </c>
      <c r="D88" t="str">
        <f>VLOOKUP(B88,Farmers!$A$1:$B$51,2,FALSE)</f>
        <v>Colombia</v>
      </c>
      <c r="E88" s="10">
        <v>2023</v>
      </c>
      <c r="F88" t="str">
        <f t="shared" si="1"/>
        <v>Provided</v>
      </c>
      <c r="G88" s="12">
        <v>1077.5999999999999</v>
      </c>
      <c r="H88" t="s">
        <v>17</v>
      </c>
      <c r="I88" s="1" t="s">
        <v>254</v>
      </c>
    </row>
    <row r="89" spans="1:9" x14ac:dyDescent="0.25">
      <c r="A89" t="s">
        <v>226</v>
      </c>
      <c r="B89" t="s">
        <v>198</v>
      </c>
      <c r="C89" t="str">
        <f>IF(COUNTIF(Farmers!A:A,Raw_coffee_shipments!B89)=0,"Missing Data","OK")</f>
        <v>OK</v>
      </c>
      <c r="D89" t="str">
        <f>VLOOKUP(B89,Farmers!$A$1:$B$51,2,FALSE)</f>
        <v>Brazil</v>
      </c>
      <c r="E89" s="10">
        <v>2022</v>
      </c>
      <c r="F89" t="str">
        <f t="shared" si="1"/>
        <v>Provided</v>
      </c>
      <c r="G89" s="12">
        <v>596.6</v>
      </c>
      <c r="H89" t="s">
        <v>9</v>
      </c>
      <c r="I89" s="1">
        <v>45047</v>
      </c>
    </row>
    <row r="90" spans="1:9" x14ac:dyDescent="0.25">
      <c r="A90" t="s">
        <v>228</v>
      </c>
      <c r="B90" t="s">
        <v>229</v>
      </c>
      <c r="C90" t="str">
        <f>IF(COUNTIF(Farmers!A:A,Raw_coffee_shipments!B90)=0,"Missing Data","OK")</f>
        <v>OK</v>
      </c>
      <c r="D90" t="str">
        <f>VLOOKUP(B90,Farmers!$A$1:$B$51,2,FALSE)</f>
        <v>Colombia</v>
      </c>
      <c r="E90" s="10">
        <v>2021</v>
      </c>
      <c r="F90" t="str">
        <f t="shared" si="1"/>
        <v>Provided</v>
      </c>
      <c r="G90" s="12">
        <v>1658.3</v>
      </c>
      <c r="H90" t="s">
        <v>9</v>
      </c>
      <c r="I90" s="1">
        <v>45092</v>
      </c>
    </row>
    <row r="91" spans="1:9" x14ac:dyDescent="0.25">
      <c r="A91" t="s">
        <v>231</v>
      </c>
      <c r="B91" t="s">
        <v>212</v>
      </c>
      <c r="C91" t="str">
        <f>IF(COUNTIF(Farmers!A:A,Raw_coffee_shipments!B91)=0,"Missing Data","OK")</f>
        <v>OK</v>
      </c>
      <c r="D91" t="str">
        <f>VLOOKUP(B91,Farmers!$A$1:$B$51,2,FALSE)</f>
        <v>Colombia</v>
      </c>
      <c r="E91" s="10">
        <v>2020</v>
      </c>
      <c r="F91" t="str">
        <f t="shared" si="1"/>
        <v>Provided</v>
      </c>
      <c r="G91" s="12">
        <v>274.2</v>
      </c>
      <c r="H91" t="s">
        <v>13</v>
      </c>
      <c r="I91" s="1">
        <v>45047</v>
      </c>
    </row>
    <row r="92" spans="1:9" x14ac:dyDescent="0.25">
      <c r="A92" t="s">
        <v>233</v>
      </c>
      <c r="B92" t="s">
        <v>89</v>
      </c>
      <c r="C92" t="str">
        <f>IF(COUNTIF(Farmers!A:A,Raw_coffee_shipments!B92)=0,"Missing Data","OK")</f>
        <v>OK</v>
      </c>
      <c r="D92" t="str">
        <f>VLOOKUP(B92,Farmers!$A$1:$B$51,2,FALSE)</f>
        <v>Vietnam</v>
      </c>
      <c r="E92" s="10">
        <v>2021</v>
      </c>
      <c r="F92" t="str">
        <f t="shared" si="1"/>
        <v>Provided</v>
      </c>
      <c r="G92" s="12">
        <v>1532.5</v>
      </c>
      <c r="H92" t="s">
        <v>13</v>
      </c>
      <c r="I92" s="1" t="s">
        <v>254</v>
      </c>
    </row>
    <row r="93" spans="1:9" x14ac:dyDescent="0.25">
      <c r="A93" t="s">
        <v>235</v>
      </c>
      <c r="B93" t="s">
        <v>34</v>
      </c>
      <c r="C93" t="str">
        <f>IF(COUNTIF(Farmers!A:A,Raw_coffee_shipments!B93)=0,"Missing Data","OK")</f>
        <v>OK</v>
      </c>
      <c r="D93" t="str">
        <f>VLOOKUP(B93,Farmers!$A$1:$B$51,2,FALSE)</f>
        <v>Ethiopia</v>
      </c>
      <c r="E93" s="10">
        <v>2022</v>
      </c>
      <c r="F93" t="str">
        <f t="shared" si="1"/>
        <v>Provided</v>
      </c>
      <c r="G93" s="12">
        <v>988.1</v>
      </c>
      <c r="H93" t="s">
        <v>13</v>
      </c>
      <c r="I93" s="1" t="s">
        <v>254</v>
      </c>
    </row>
    <row r="94" spans="1:9" x14ac:dyDescent="0.25">
      <c r="A94" t="s">
        <v>237</v>
      </c>
      <c r="B94" t="s">
        <v>28</v>
      </c>
      <c r="C94" t="str">
        <f>IF(COUNTIF(Farmers!A:A,Raw_coffee_shipments!B94)=0,"Missing Data","OK")</f>
        <v>OK</v>
      </c>
      <c r="D94" t="str">
        <f>VLOOKUP(B94,Farmers!$A$1:$B$51,2,FALSE)</f>
        <v>Brazil</v>
      </c>
      <c r="E94" s="10" t="s">
        <v>254</v>
      </c>
      <c r="F94" t="str">
        <f t="shared" si="1"/>
        <v>Provided</v>
      </c>
      <c r="G94" s="12">
        <v>1841.6</v>
      </c>
      <c r="H94" t="s">
        <v>17</v>
      </c>
      <c r="I94" s="1" t="s">
        <v>254</v>
      </c>
    </row>
    <row r="95" spans="1:9" x14ac:dyDescent="0.25">
      <c r="A95" t="s">
        <v>239</v>
      </c>
      <c r="B95" t="s">
        <v>185</v>
      </c>
      <c r="C95" t="str">
        <f>IF(COUNTIF(Farmers!A:A,Raw_coffee_shipments!B95)=0,"Missing Data","OK")</f>
        <v>OK</v>
      </c>
      <c r="D95" t="str">
        <f>VLOOKUP(B95,Farmers!$A$1:$B$51,2,FALSE)</f>
        <v>Brazil</v>
      </c>
      <c r="E95" s="10">
        <v>2020</v>
      </c>
      <c r="F95" t="str">
        <f t="shared" si="1"/>
        <v>Provided</v>
      </c>
      <c r="G95" s="12">
        <v>536.1</v>
      </c>
      <c r="H95" t="s">
        <v>17</v>
      </c>
      <c r="I95" s="1" t="s">
        <v>254</v>
      </c>
    </row>
    <row r="96" spans="1:9" x14ac:dyDescent="0.25">
      <c r="A96" t="s">
        <v>241</v>
      </c>
      <c r="B96" t="s">
        <v>51</v>
      </c>
      <c r="C96" t="str">
        <f>IF(COUNTIF(Farmers!A:A,Raw_coffee_shipments!B96)=0,"Missing Data","OK")</f>
        <v>OK</v>
      </c>
      <c r="D96" t="str">
        <f>VLOOKUP(B96,Farmers!$A$1:$B$51,2,FALSE)</f>
        <v>Ethiopia</v>
      </c>
      <c r="E96" s="10">
        <v>2021</v>
      </c>
      <c r="F96" t="str">
        <f t="shared" si="1"/>
        <v>Provided</v>
      </c>
      <c r="G96" s="12">
        <v>899.4</v>
      </c>
      <c r="H96" t="s">
        <v>9</v>
      </c>
      <c r="I96" s="1">
        <v>45047</v>
      </c>
    </row>
    <row r="97" spans="1:9" x14ac:dyDescent="0.25">
      <c r="A97" t="s">
        <v>243</v>
      </c>
      <c r="B97" t="s">
        <v>244</v>
      </c>
      <c r="C97" t="str">
        <f>IF(COUNTIF(Farmers!A:A,Raw_coffee_shipments!B97)=0,"Missing Data","OK")</f>
        <v>OK</v>
      </c>
      <c r="D97" t="str">
        <f>VLOOKUP(B97,Farmers!$A$1:$B$51,2,FALSE)</f>
        <v>Brazil</v>
      </c>
      <c r="E97" s="10" t="s">
        <v>254</v>
      </c>
      <c r="F97" t="str">
        <f t="shared" si="1"/>
        <v>Provided</v>
      </c>
      <c r="G97" s="12">
        <v>1576.4</v>
      </c>
      <c r="H97" t="s">
        <v>254</v>
      </c>
      <c r="I97" s="1">
        <v>45047</v>
      </c>
    </row>
    <row r="98" spans="1:9" x14ac:dyDescent="0.25">
      <c r="A98" t="s">
        <v>246</v>
      </c>
      <c r="B98" t="s">
        <v>37</v>
      </c>
      <c r="C98" t="str">
        <f>IF(COUNTIF(Farmers!A:A,Raw_coffee_shipments!B98)=0,"Missing Data","OK")</f>
        <v>OK</v>
      </c>
      <c r="D98" t="str">
        <f>VLOOKUP(B98,Farmers!$A$1:$B$51,2,FALSE)</f>
        <v>Vietnam</v>
      </c>
      <c r="E98" s="10">
        <v>2021</v>
      </c>
      <c r="F98" t="str">
        <f t="shared" si="1"/>
        <v>Provided</v>
      </c>
      <c r="G98" s="12">
        <v>1263.2</v>
      </c>
      <c r="H98" t="s">
        <v>13</v>
      </c>
      <c r="I98" s="1">
        <v>45047</v>
      </c>
    </row>
    <row r="99" spans="1:9" x14ac:dyDescent="0.25">
      <c r="A99" t="s">
        <v>248</v>
      </c>
      <c r="B99" t="s">
        <v>54</v>
      </c>
      <c r="C99" t="str">
        <f>IF(COUNTIF(Farmers!A:A,Raw_coffee_shipments!B99)=0,"Missing Data","OK")</f>
        <v>OK</v>
      </c>
      <c r="D99" t="str">
        <f>VLOOKUP(B99,Farmers!$A$1:$B$51,2,FALSE)</f>
        <v>Ethiopia</v>
      </c>
      <c r="E99" s="10" t="s">
        <v>254</v>
      </c>
      <c r="F99" t="str">
        <f t="shared" si="1"/>
        <v>Provided</v>
      </c>
      <c r="G99" s="12">
        <v>336.4</v>
      </c>
      <c r="H99" t="s">
        <v>254</v>
      </c>
      <c r="I99" s="1" t="s">
        <v>254</v>
      </c>
    </row>
    <row r="100" spans="1:9" x14ac:dyDescent="0.25">
      <c r="A100" t="s">
        <v>250</v>
      </c>
      <c r="B100" t="s">
        <v>22</v>
      </c>
      <c r="C100" t="str">
        <f>IF(COUNTIF(Farmers!A:A,Raw_coffee_shipments!B100)=0,"Missing Data","OK")</f>
        <v>OK</v>
      </c>
      <c r="D100" t="str">
        <f>VLOOKUP(B100,Farmers!$A$1:$B$51,2,FALSE)</f>
        <v>Colombia</v>
      </c>
      <c r="E100" s="10">
        <v>2021</v>
      </c>
      <c r="F100" t="str">
        <f t="shared" si="1"/>
        <v>Provided</v>
      </c>
      <c r="G100" s="12">
        <v>1924.4</v>
      </c>
      <c r="H100" t="s">
        <v>17</v>
      </c>
      <c r="I100" s="1">
        <v>45047</v>
      </c>
    </row>
    <row r="101" spans="1:9" x14ac:dyDescent="0.25">
      <c r="A101" t="s">
        <v>252</v>
      </c>
      <c r="B101" t="s">
        <v>51</v>
      </c>
      <c r="C101" t="str">
        <f>IF(COUNTIF(Farmers!A:A,Raw_coffee_shipments!B101)=0,"Missing Data","OK")</f>
        <v>OK</v>
      </c>
      <c r="D101" t="str">
        <f>VLOOKUP(B101,Farmers!$A$1:$B$51,2,FALSE)</f>
        <v>Ethiopia</v>
      </c>
      <c r="E101" s="10">
        <v>2022</v>
      </c>
      <c r="F101" t="str">
        <f t="shared" si="1"/>
        <v>Provided</v>
      </c>
      <c r="G101" s="12">
        <v>168.8</v>
      </c>
      <c r="H101" t="s">
        <v>9</v>
      </c>
      <c r="I101" s="1">
        <v>45047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6" sqref="B6"/>
    </sheetView>
  </sheetViews>
  <sheetFormatPr defaultRowHeight="15" x14ac:dyDescent="0.25"/>
  <cols>
    <col min="1" max="1" width="13.7109375" bestFit="1" customWidth="1"/>
    <col min="2" max="2" width="20.7109375" bestFit="1" customWidth="1"/>
  </cols>
  <sheetData>
    <row r="3" spans="1:2" x14ac:dyDescent="0.25">
      <c r="A3" s="6" t="s">
        <v>271</v>
      </c>
      <c r="B3" t="s">
        <v>273</v>
      </c>
    </row>
    <row r="4" spans="1:2" x14ac:dyDescent="0.25">
      <c r="A4" s="7" t="s">
        <v>9</v>
      </c>
      <c r="B4" s="8">
        <v>28</v>
      </c>
    </row>
    <row r="5" spans="1:2" x14ac:dyDescent="0.25">
      <c r="A5" s="7" t="s">
        <v>17</v>
      </c>
      <c r="B5" s="8">
        <v>25</v>
      </c>
    </row>
    <row r="6" spans="1:2" x14ac:dyDescent="0.25">
      <c r="A6" s="7" t="s">
        <v>254</v>
      </c>
      <c r="B6" s="8">
        <v>25</v>
      </c>
    </row>
    <row r="7" spans="1:2" x14ac:dyDescent="0.25">
      <c r="A7" s="7" t="s">
        <v>13</v>
      </c>
      <c r="B7" s="8">
        <v>22</v>
      </c>
    </row>
    <row r="8" spans="1:2" x14ac:dyDescent="0.25">
      <c r="A8" s="7" t="s">
        <v>272</v>
      </c>
      <c r="B8" s="8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B8" sqref="B8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bestFit="1" customWidth="1"/>
    <col min="4" max="4" width="10.7109375" bestFit="1" customWidth="1"/>
    <col min="5" max="5" width="11" bestFit="1" customWidth="1"/>
  </cols>
  <sheetData>
    <row r="1" spans="1:5" x14ac:dyDescent="0.25">
      <c r="A1" s="4" t="s">
        <v>1</v>
      </c>
      <c r="B1" s="4" t="s">
        <v>256</v>
      </c>
      <c r="C1" s="4" t="s">
        <v>257</v>
      </c>
      <c r="D1" s="4" t="s">
        <v>275</v>
      </c>
      <c r="E1" s="4" t="s">
        <v>276</v>
      </c>
    </row>
    <row r="2" spans="1:5" x14ac:dyDescent="0.25">
      <c r="A2" s="5" t="s">
        <v>195</v>
      </c>
      <c r="B2" s="5" t="s">
        <v>258</v>
      </c>
      <c r="C2" s="5" t="s">
        <v>259</v>
      </c>
      <c r="D2" s="5">
        <v>-9.3197759999999992</v>
      </c>
      <c r="E2" s="5">
        <v>105.877572</v>
      </c>
    </row>
    <row r="3" spans="1:5" x14ac:dyDescent="0.25">
      <c r="A3" s="5" t="s">
        <v>57</v>
      </c>
      <c r="B3" s="5" t="s">
        <v>258</v>
      </c>
      <c r="C3" s="5" t="s">
        <v>259</v>
      </c>
      <c r="D3" s="5">
        <v>-6.2987260000000003</v>
      </c>
      <c r="E3" s="5">
        <v>103.286368</v>
      </c>
    </row>
    <row r="4" spans="1:5" x14ac:dyDescent="0.25">
      <c r="A4" s="5" t="s">
        <v>212</v>
      </c>
      <c r="B4" s="5" t="s">
        <v>258</v>
      </c>
      <c r="C4" s="5" t="s">
        <v>259</v>
      </c>
      <c r="D4" s="5">
        <v>-13.685096</v>
      </c>
      <c r="E4" s="5">
        <v>100.03392100000001</v>
      </c>
    </row>
    <row r="5" spans="1:5" x14ac:dyDescent="0.25">
      <c r="A5" s="5" t="s">
        <v>142</v>
      </c>
      <c r="B5" s="5" t="s">
        <v>260</v>
      </c>
      <c r="C5" s="5" t="s">
        <v>261</v>
      </c>
      <c r="D5" s="5">
        <v>14.280538999999999</v>
      </c>
      <c r="E5" s="5">
        <v>104.848281</v>
      </c>
    </row>
    <row r="6" spans="1:5" x14ac:dyDescent="0.25">
      <c r="A6" s="5" t="s">
        <v>22</v>
      </c>
      <c r="B6" s="5" t="s">
        <v>258</v>
      </c>
      <c r="C6" s="5" t="s">
        <v>259</v>
      </c>
      <c r="D6" s="5">
        <v>-2.5245549999999999</v>
      </c>
      <c r="E6" s="5">
        <v>105.192964</v>
      </c>
    </row>
    <row r="7" spans="1:5" x14ac:dyDescent="0.25">
      <c r="A7" s="5" t="s">
        <v>19</v>
      </c>
      <c r="B7" s="5" t="s">
        <v>258</v>
      </c>
      <c r="C7" s="5" t="s">
        <v>259</v>
      </c>
      <c r="D7" s="5">
        <v>-5.4429540000000003</v>
      </c>
      <c r="E7" s="5">
        <v>102.789579</v>
      </c>
    </row>
    <row r="8" spans="1:5" x14ac:dyDescent="0.25">
      <c r="A8" s="5" t="s">
        <v>40</v>
      </c>
      <c r="B8" s="5" t="s">
        <v>258</v>
      </c>
      <c r="C8" s="5" t="s">
        <v>259</v>
      </c>
      <c r="D8" s="5">
        <v>-1.226736</v>
      </c>
      <c r="E8" s="5">
        <v>97.493773000000004</v>
      </c>
    </row>
    <row r="9" spans="1:5" x14ac:dyDescent="0.25">
      <c r="A9" s="5" t="s">
        <v>229</v>
      </c>
      <c r="B9" s="5" t="s">
        <v>258</v>
      </c>
      <c r="C9" s="5" t="s">
        <v>259</v>
      </c>
      <c r="D9" s="5">
        <v>-13.910316999999999</v>
      </c>
      <c r="E9" s="5">
        <v>103.72147200000001</v>
      </c>
    </row>
    <row r="10" spans="1:5" x14ac:dyDescent="0.25">
      <c r="A10" s="5" t="s">
        <v>131</v>
      </c>
      <c r="B10" s="5" t="s">
        <v>262</v>
      </c>
      <c r="C10" s="5" t="s">
        <v>259</v>
      </c>
      <c r="D10" s="5">
        <v>-7.1987110000000003</v>
      </c>
      <c r="E10" s="5">
        <v>96.278499999999994</v>
      </c>
    </row>
    <row r="11" spans="1:5" x14ac:dyDescent="0.25">
      <c r="A11" s="5" t="s">
        <v>173</v>
      </c>
      <c r="B11" s="5" t="s">
        <v>258</v>
      </c>
      <c r="C11" s="5" t="s">
        <v>259</v>
      </c>
      <c r="D11" s="5">
        <v>-3.0940889999999999</v>
      </c>
      <c r="E11" s="5">
        <v>105.713161</v>
      </c>
    </row>
    <row r="12" spans="1:5" x14ac:dyDescent="0.25">
      <c r="A12" s="5" t="s">
        <v>46</v>
      </c>
      <c r="B12" s="5" t="s">
        <v>263</v>
      </c>
      <c r="C12" s="5" t="s">
        <v>264</v>
      </c>
      <c r="D12" s="5">
        <v>-3.0284800000000001</v>
      </c>
      <c r="E12" s="5">
        <v>104.246195</v>
      </c>
    </row>
    <row r="13" spans="1:5" x14ac:dyDescent="0.25">
      <c r="A13" s="5" t="s">
        <v>31</v>
      </c>
      <c r="B13" s="5" t="s">
        <v>260</v>
      </c>
      <c r="C13" s="5" t="s">
        <v>261</v>
      </c>
      <c r="D13" s="5">
        <v>-11.799671999999999</v>
      </c>
      <c r="E13" s="5">
        <v>99.784670000000006</v>
      </c>
    </row>
    <row r="14" spans="1:5" x14ac:dyDescent="0.25">
      <c r="A14" s="5" t="s">
        <v>121</v>
      </c>
      <c r="B14" s="5" t="s">
        <v>254</v>
      </c>
      <c r="C14" s="5" t="s">
        <v>254</v>
      </c>
      <c r="D14" s="5">
        <v>0.93575399999999997</v>
      </c>
      <c r="E14" s="5">
        <v>103.468119</v>
      </c>
    </row>
    <row r="15" spans="1:5" x14ac:dyDescent="0.25">
      <c r="A15" s="5" t="s">
        <v>265</v>
      </c>
      <c r="B15" s="5" t="s">
        <v>254</v>
      </c>
      <c r="C15" s="5" t="s">
        <v>254</v>
      </c>
      <c r="D15" s="5">
        <v>14.713504</v>
      </c>
      <c r="E15" s="5">
        <v>107.88533099999999</v>
      </c>
    </row>
    <row r="16" spans="1:5" x14ac:dyDescent="0.25">
      <c r="A16" s="5" t="s">
        <v>28</v>
      </c>
      <c r="B16" s="5" t="s">
        <v>262</v>
      </c>
      <c r="C16" s="5" t="s">
        <v>259</v>
      </c>
      <c r="D16" s="5">
        <v>4.7559999999999998E-2</v>
      </c>
      <c r="E16" s="5">
        <v>97.869383999999997</v>
      </c>
    </row>
    <row r="17" spans="1:5" x14ac:dyDescent="0.25">
      <c r="A17" s="5" t="s">
        <v>105</v>
      </c>
      <c r="B17" s="5" t="s">
        <v>262</v>
      </c>
      <c r="C17" s="5" t="s">
        <v>259</v>
      </c>
      <c r="D17" s="5">
        <v>-5.9625769999999996</v>
      </c>
      <c r="E17" s="5">
        <v>107.216438</v>
      </c>
    </row>
    <row r="18" spans="1:5" x14ac:dyDescent="0.25">
      <c r="A18" s="5" t="s">
        <v>11</v>
      </c>
      <c r="B18" s="5" t="s">
        <v>254</v>
      </c>
      <c r="C18" s="5" t="s">
        <v>254</v>
      </c>
      <c r="D18" s="5">
        <v>-6.7584410000000004</v>
      </c>
      <c r="E18" s="5">
        <v>98.788776999999996</v>
      </c>
    </row>
    <row r="19" spans="1:5" x14ac:dyDescent="0.25">
      <c r="A19" s="5" t="s">
        <v>97</v>
      </c>
      <c r="B19" s="5" t="s">
        <v>260</v>
      </c>
      <c r="C19" s="5" t="s">
        <v>261</v>
      </c>
      <c r="D19" s="5">
        <v>-2.7627519999999999</v>
      </c>
      <c r="E19" s="5">
        <v>96.009975999999995</v>
      </c>
    </row>
    <row r="20" spans="1:5" x14ac:dyDescent="0.25">
      <c r="A20" s="5" t="s">
        <v>266</v>
      </c>
      <c r="B20" s="5" t="s">
        <v>260</v>
      </c>
      <c r="C20" s="5" t="s">
        <v>261</v>
      </c>
      <c r="D20" s="5">
        <v>0.57813999999999999</v>
      </c>
      <c r="E20" s="5">
        <v>108.44748800000001</v>
      </c>
    </row>
    <row r="21" spans="1:5" x14ac:dyDescent="0.25">
      <c r="A21" s="5" t="s">
        <v>267</v>
      </c>
      <c r="B21" s="5" t="s">
        <v>254</v>
      </c>
      <c r="C21" s="5" t="s">
        <v>254</v>
      </c>
      <c r="D21" s="5">
        <v>-12.739779</v>
      </c>
      <c r="E21" s="5">
        <v>96.176929999999999</v>
      </c>
    </row>
    <row r="22" spans="1:5" x14ac:dyDescent="0.25">
      <c r="A22" s="5" t="s">
        <v>7</v>
      </c>
      <c r="B22" s="5" t="s">
        <v>260</v>
      </c>
      <c r="C22" s="5" t="s">
        <v>261</v>
      </c>
      <c r="D22" s="5">
        <v>-10.166468</v>
      </c>
      <c r="E22" s="5">
        <v>109.41883300000001</v>
      </c>
    </row>
    <row r="23" spans="1:5" x14ac:dyDescent="0.25">
      <c r="A23" s="5" t="s">
        <v>34</v>
      </c>
      <c r="B23" s="5" t="s">
        <v>260</v>
      </c>
      <c r="C23" s="5" t="s">
        <v>261</v>
      </c>
      <c r="D23" s="5">
        <v>-11.804306</v>
      </c>
      <c r="E23" s="5">
        <v>106.141237</v>
      </c>
    </row>
    <row r="24" spans="1:5" x14ac:dyDescent="0.25">
      <c r="A24" s="5" t="s">
        <v>164</v>
      </c>
      <c r="B24" s="5" t="s">
        <v>263</v>
      </c>
      <c r="C24" s="5" t="s">
        <v>264</v>
      </c>
      <c r="D24" s="5">
        <v>-10.377765</v>
      </c>
      <c r="E24" s="5">
        <v>99.420010000000005</v>
      </c>
    </row>
    <row r="25" spans="1:5" x14ac:dyDescent="0.25">
      <c r="A25" s="5" t="s">
        <v>92</v>
      </c>
      <c r="B25" s="5" t="s">
        <v>262</v>
      </c>
      <c r="C25" s="5" t="s">
        <v>259</v>
      </c>
      <c r="D25" s="5">
        <v>-10.566814000000001</v>
      </c>
      <c r="E25" s="5">
        <v>95.745436999999995</v>
      </c>
    </row>
    <row r="26" spans="1:5" x14ac:dyDescent="0.25">
      <c r="A26" s="5" t="s">
        <v>43</v>
      </c>
      <c r="B26" s="5" t="s">
        <v>258</v>
      </c>
      <c r="C26" s="5" t="s">
        <v>259</v>
      </c>
      <c r="D26" s="5">
        <v>7.0463319999999996</v>
      </c>
      <c r="E26" s="5">
        <v>96.624572999999998</v>
      </c>
    </row>
    <row r="27" spans="1:5" x14ac:dyDescent="0.25">
      <c r="A27" s="5" t="s">
        <v>76</v>
      </c>
      <c r="B27" s="5" t="s">
        <v>258</v>
      </c>
      <c r="C27" s="5" t="s">
        <v>259</v>
      </c>
      <c r="D27" s="5">
        <v>-4.2172830000000001</v>
      </c>
      <c r="E27" s="5">
        <v>101.22089099999999</v>
      </c>
    </row>
    <row r="28" spans="1:5" x14ac:dyDescent="0.25">
      <c r="A28" s="5" t="s">
        <v>89</v>
      </c>
      <c r="B28" s="5" t="s">
        <v>263</v>
      </c>
      <c r="C28" s="5" t="s">
        <v>264</v>
      </c>
      <c r="D28" s="5">
        <v>-10.112843</v>
      </c>
      <c r="E28" s="5">
        <v>98.847309999999993</v>
      </c>
    </row>
    <row r="29" spans="1:5" x14ac:dyDescent="0.25">
      <c r="A29" s="5" t="s">
        <v>198</v>
      </c>
      <c r="B29" s="5" t="s">
        <v>262</v>
      </c>
      <c r="C29" s="5" t="s">
        <v>259</v>
      </c>
      <c r="D29" s="5">
        <v>-6.4558619999999998</v>
      </c>
      <c r="E29" s="5">
        <v>97.594500999999994</v>
      </c>
    </row>
    <row r="30" spans="1:5" x14ac:dyDescent="0.25">
      <c r="A30" s="5" t="s">
        <v>192</v>
      </c>
      <c r="B30" s="5" t="s">
        <v>254</v>
      </c>
      <c r="C30" s="5" t="s">
        <v>254</v>
      </c>
      <c r="D30" s="5">
        <v>-7.5668360000000003</v>
      </c>
      <c r="E30" s="5">
        <v>108.53906000000001</v>
      </c>
    </row>
    <row r="31" spans="1:5" x14ac:dyDescent="0.25">
      <c r="A31" s="5" t="s">
        <v>136</v>
      </c>
      <c r="B31" s="5" t="s">
        <v>260</v>
      </c>
      <c r="C31" s="5" t="s">
        <v>261</v>
      </c>
      <c r="D31" s="5">
        <v>-14.430585000000001</v>
      </c>
      <c r="E31" s="5">
        <v>97.572372999999999</v>
      </c>
    </row>
    <row r="32" spans="1:5" x14ac:dyDescent="0.25">
      <c r="A32" s="5" t="s">
        <v>25</v>
      </c>
      <c r="B32" s="5" t="s">
        <v>254</v>
      </c>
      <c r="C32" s="5" t="s">
        <v>254</v>
      </c>
      <c r="D32" s="5">
        <v>-10.906312</v>
      </c>
      <c r="E32" s="5">
        <v>109.487914</v>
      </c>
    </row>
    <row r="33" spans="1:5" x14ac:dyDescent="0.25">
      <c r="A33" s="5" t="s">
        <v>180</v>
      </c>
      <c r="B33" s="5" t="s">
        <v>262</v>
      </c>
      <c r="C33" s="5" t="s">
        <v>259</v>
      </c>
      <c r="D33" s="5">
        <v>6.1161789999999998</v>
      </c>
      <c r="E33" s="5">
        <v>96.705346000000006</v>
      </c>
    </row>
    <row r="34" spans="1:5" x14ac:dyDescent="0.25">
      <c r="A34" s="5" t="s">
        <v>151</v>
      </c>
      <c r="B34" s="5" t="s">
        <v>262</v>
      </c>
      <c r="C34" s="5" t="s">
        <v>259</v>
      </c>
      <c r="D34" s="5">
        <v>-11.217822</v>
      </c>
      <c r="E34" s="5">
        <v>98.677373000000003</v>
      </c>
    </row>
    <row r="35" spans="1:5" x14ac:dyDescent="0.25">
      <c r="A35" s="5" t="s">
        <v>37</v>
      </c>
      <c r="B35" s="5" t="s">
        <v>263</v>
      </c>
      <c r="C35" s="5" t="s">
        <v>264</v>
      </c>
      <c r="D35" s="5">
        <v>3.8474370000000002</v>
      </c>
      <c r="E35" s="5">
        <v>97.209202000000005</v>
      </c>
    </row>
    <row r="36" spans="1:5" x14ac:dyDescent="0.25">
      <c r="A36" s="5" t="s">
        <v>118</v>
      </c>
      <c r="B36" s="5" t="s">
        <v>260</v>
      </c>
      <c r="C36" s="5" t="s">
        <v>261</v>
      </c>
      <c r="D36" s="5">
        <v>-0.62977099999999997</v>
      </c>
      <c r="E36" s="5">
        <v>96.648286999999996</v>
      </c>
    </row>
    <row r="37" spans="1:5" x14ac:dyDescent="0.25">
      <c r="A37" s="5" t="s">
        <v>15</v>
      </c>
      <c r="B37" s="5" t="s">
        <v>254</v>
      </c>
      <c r="C37" s="5" t="s">
        <v>254</v>
      </c>
      <c r="D37" s="5">
        <v>3.9784820000000001</v>
      </c>
      <c r="E37" s="5">
        <v>96.409105999999994</v>
      </c>
    </row>
    <row r="38" spans="1:5" x14ac:dyDescent="0.25">
      <c r="A38" s="5" t="s">
        <v>51</v>
      </c>
      <c r="B38" s="5" t="s">
        <v>260</v>
      </c>
      <c r="C38" s="5" t="s">
        <v>261</v>
      </c>
      <c r="D38" s="5">
        <v>1.8979630000000001</v>
      </c>
      <c r="E38" s="5">
        <v>107.03733</v>
      </c>
    </row>
    <row r="39" spans="1:5" x14ac:dyDescent="0.25">
      <c r="A39" s="5" t="s">
        <v>102</v>
      </c>
      <c r="B39" s="5" t="s">
        <v>262</v>
      </c>
      <c r="C39" s="5" t="s">
        <v>259</v>
      </c>
      <c r="D39" s="5">
        <v>-12.846697000000001</v>
      </c>
      <c r="E39" s="5">
        <v>97.240521000000001</v>
      </c>
    </row>
    <row r="40" spans="1:5" x14ac:dyDescent="0.25">
      <c r="A40" s="5" t="s">
        <v>65</v>
      </c>
      <c r="B40" s="5" t="s">
        <v>263</v>
      </c>
      <c r="C40" s="5" t="s">
        <v>264</v>
      </c>
      <c r="D40" s="5">
        <v>-3.330616</v>
      </c>
      <c r="E40" s="5">
        <v>102.20441599999999</v>
      </c>
    </row>
    <row r="41" spans="1:5" x14ac:dyDescent="0.25">
      <c r="A41" s="5" t="s">
        <v>268</v>
      </c>
      <c r="B41" s="5" t="s">
        <v>258</v>
      </c>
      <c r="C41" s="5" t="s">
        <v>259</v>
      </c>
      <c r="D41" s="5">
        <v>4.4764429999999997</v>
      </c>
      <c r="E41" s="5">
        <v>105.93231900000001</v>
      </c>
    </row>
    <row r="42" spans="1:5" x14ac:dyDescent="0.25">
      <c r="A42" s="5" t="s">
        <v>269</v>
      </c>
      <c r="B42" s="5" t="s">
        <v>254</v>
      </c>
      <c r="C42" s="5" t="s">
        <v>254</v>
      </c>
      <c r="D42" s="5">
        <v>-10.576714000000001</v>
      </c>
      <c r="E42" s="5">
        <v>100.958175</v>
      </c>
    </row>
    <row r="43" spans="1:5" x14ac:dyDescent="0.25">
      <c r="A43" s="5" t="s">
        <v>60</v>
      </c>
      <c r="B43" s="5" t="s">
        <v>254</v>
      </c>
      <c r="C43" s="5" t="s">
        <v>254</v>
      </c>
      <c r="D43" s="5">
        <v>-1.2682199999999999</v>
      </c>
      <c r="E43" s="5">
        <v>98.852705999999998</v>
      </c>
    </row>
    <row r="44" spans="1:5" x14ac:dyDescent="0.25">
      <c r="A44" s="5" t="s">
        <v>71</v>
      </c>
      <c r="B44" s="5" t="s">
        <v>262</v>
      </c>
      <c r="C44" s="5" t="s">
        <v>259</v>
      </c>
      <c r="D44" s="5">
        <v>9.8110479999999995</v>
      </c>
      <c r="E44" s="5">
        <v>105.024484</v>
      </c>
    </row>
    <row r="45" spans="1:5" x14ac:dyDescent="0.25">
      <c r="A45" s="5" t="s">
        <v>139</v>
      </c>
      <c r="B45" s="5" t="s">
        <v>262</v>
      </c>
      <c r="C45" s="5" t="s">
        <v>259</v>
      </c>
      <c r="D45" s="5">
        <v>-2.6762510000000002</v>
      </c>
      <c r="E45" s="5">
        <v>98.563738999999998</v>
      </c>
    </row>
    <row r="46" spans="1:5" x14ac:dyDescent="0.25">
      <c r="A46" s="5" t="s">
        <v>124</v>
      </c>
      <c r="B46" s="5" t="s">
        <v>258</v>
      </c>
      <c r="C46" s="5" t="s">
        <v>259</v>
      </c>
      <c r="D46" s="5">
        <v>7.9245169999999998</v>
      </c>
      <c r="E46" s="5">
        <v>105.889804</v>
      </c>
    </row>
    <row r="47" spans="1:5" x14ac:dyDescent="0.25">
      <c r="A47" s="5" t="s">
        <v>205</v>
      </c>
      <c r="B47" s="5" t="s">
        <v>262</v>
      </c>
      <c r="C47" s="5" t="s">
        <v>259</v>
      </c>
      <c r="D47" s="5">
        <v>8.4463059999999999</v>
      </c>
      <c r="E47" s="5">
        <v>106.101671</v>
      </c>
    </row>
    <row r="48" spans="1:5" x14ac:dyDescent="0.25">
      <c r="A48" s="5" t="s">
        <v>185</v>
      </c>
      <c r="B48" s="5" t="s">
        <v>262</v>
      </c>
      <c r="C48" s="5" t="s">
        <v>259</v>
      </c>
      <c r="D48" s="5">
        <v>-14.223271</v>
      </c>
      <c r="E48" s="5">
        <v>101.987898</v>
      </c>
    </row>
    <row r="49" spans="1:5" x14ac:dyDescent="0.25">
      <c r="A49" s="5" t="s">
        <v>54</v>
      </c>
      <c r="B49" s="5" t="s">
        <v>260</v>
      </c>
      <c r="C49" s="5" t="s">
        <v>261</v>
      </c>
      <c r="D49" s="5">
        <v>12.235258999999999</v>
      </c>
      <c r="E49" s="5">
        <v>108.639443</v>
      </c>
    </row>
    <row r="50" spans="1:5" x14ac:dyDescent="0.25">
      <c r="A50" s="5" t="s">
        <v>244</v>
      </c>
      <c r="B50" s="5" t="s">
        <v>262</v>
      </c>
      <c r="C50" s="5" t="s">
        <v>259</v>
      </c>
      <c r="D50" s="5">
        <v>-4.454078</v>
      </c>
      <c r="E50" s="5">
        <v>109.141661</v>
      </c>
    </row>
    <row r="51" spans="1:5" x14ac:dyDescent="0.25">
      <c r="A51" s="5" t="s">
        <v>68</v>
      </c>
      <c r="B51" s="5" t="s">
        <v>262</v>
      </c>
      <c r="C51" s="5" t="s">
        <v>259</v>
      </c>
      <c r="D51" s="5">
        <v>5.4180489999999999</v>
      </c>
      <c r="E51" s="5">
        <v>101.76519500000001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Raw_coffee_shipments</vt:lpstr>
      <vt:lpstr>Pivot_Table (Exported Weight)</vt:lpstr>
      <vt:lpstr>Used_Coffer_shipments</vt:lpstr>
      <vt:lpstr>No. Shipment based on P.Method</vt:lpstr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MIEN TRUNG CPT</dc:creator>
  <cp:lastModifiedBy>MIEN TRUNG CPT</cp:lastModifiedBy>
  <dcterms:created xsi:type="dcterms:W3CDTF">2026-01-14T05:53:05Z</dcterms:created>
  <dcterms:modified xsi:type="dcterms:W3CDTF">2026-01-14T09:48:23Z</dcterms:modified>
</cp:coreProperties>
</file>